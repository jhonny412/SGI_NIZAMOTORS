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s\SGI\"/>
    </mc:Choice>
  </mc:AlternateContent>
  <xr:revisionPtr revIDLastSave="0" documentId="8_{C244816C-13D7-43B0-BD65-139E34B84D4E}" xr6:coauthVersionLast="47" xr6:coauthVersionMax="47" xr10:uidLastSave="{00000000-0000-0000-0000-000000000000}"/>
  <bookViews>
    <workbookView xWindow="-120" yWindow="-120" windowWidth="29040" windowHeight="15720" xr2:uid="{A12A76FF-FCD0-4C17-9B83-586F11DE7B47}"/>
  </bookViews>
  <sheets>
    <sheet name="BOBINAS" sheetId="1" r:id="rId1"/>
    <sheet name="MONARK" sheetId="2" r:id="rId2"/>
    <sheet name="CABLES" sheetId="3" r:id="rId3"/>
    <sheet name="BUJIAS" sheetId="4" r:id="rId4"/>
    <sheet name="CINTAS" sheetId="5" r:id="rId5"/>
    <sheet name="CONMUTADOR" sheetId="6" r:id="rId6"/>
    <sheet name="SWICH_FRENO" sheetId="7" r:id="rId7"/>
    <sheet name="TERMOSTATO" sheetId="8" r:id="rId8"/>
    <sheet name="VELOCIDAD_SENSOR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6" l="1"/>
  <c r="G6" i="6"/>
  <c r="H6" i="6" s="1"/>
  <c r="G5" i="6"/>
  <c r="H5" i="6" s="1"/>
  <c r="G4" i="6"/>
  <c r="H4" i="6" s="1"/>
  <c r="G3" i="6"/>
  <c r="H3" i="6" s="1"/>
  <c r="G2" i="6"/>
  <c r="H2" i="6" s="1"/>
  <c r="F16" i="4"/>
  <c r="G16" i="4" s="1"/>
  <c r="F15" i="4"/>
  <c r="G15" i="4" s="1"/>
  <c r="F14" i="4"/>
  <c r="G14" i="4" s="1"/>
  <c r="F13" i="4"/>
  <c r="G13" i="4" s="1"/>
  <c r="F12" i="4"/>
  <c r="G12" i="4" s="1"/>
  <c r="G11" i="4"/>
  <c r="I11" i="4" s="1"/>
  <c r="F11" i="4"/>
  <c r="F10" i="4"/>
  <c r="H10" i="4" s="1"/>
  <c r="G9" i="4"/>
  <c r="I9" i="4" s="1"/>
  <c r="F9" i="4"/>
  <c r="H9" i="4" s="1"/>
  <c r="F8" i="4"/>
  <c r="H8" i="4" s="1"/>
  <c r="G7" i="4"/>
  <c r="I7" i="4" s="1"/>
  <c r="F7" i="4"/>
  <c r="H7" i="4" s="1"/>
  <c r="F6" i="4"/>
  <c r="H6" i="4" s="1"/>
  <c r="F5" i="4"/>
  <c r="G5" i="4" s="1"/>
  <c r="I5" i="4" s="1"/>
  <c r="H4" i="4"/>
  <c r="F4" i="4"/>
  <c r="G4" i="4" s="1"/>
  <c r="I4" i="4" s="1"/>
  <c r="F3" i="4"/>
  <c r="H3" i="4" s="1"/>
  <c r="H2" i="4"/>
  <c r="F2" i="4"/>
  <c r="G2" i="4" s="1"/>
  <c r="I2" i="4" s="1"/>
  <c r="G26" i="3"/>
  <c r="H26" i="3" s="1"/>
  <c r="G25" i="3"/>
  <c r="H25" i="3" s="1"/>
  <c r="G24" i="3"/>
  <c r="H24" i="3" s="1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G4" i="3"/>
  <c r="H4" i="3" s="1"/>
  <c r="G3" i="3"/>
  <c r="H3" i="3" s="1"/>
  <c r="G2" i="3"/>
  <c r="H2" i="3" s="1"/>
  <c r="J43" i="1"/>
  <c r="K43" i="1" s="1"/>
  <c r="G43" i="1"/>
  <c r="H43" i="1" s="1"/>
  <c r="J42" i="1"/>
  <c r="K42" i="1" s="1"/>
  <c r="G42" i="1"/>
  <c r="H42" i="1" s="1"/>
  <c r="J41" i="1"/>
  <c r="K41" i="1" s="1"/>
  <c r="G41" i="1"/>
  <c r="H41" i="1" s="1"/>
  <c r="J40" i="1"/>
  <c r="K40" i="1" s="1"/>
  <c r="G40" i="1"/>
  <c r="H40" i="1" s="1"/>
  <c r="J39" i="1"/>
  <c r="K39" i="1" s="1"/>
  <c r="G39" i="1"/>
  <c r="H39" i="1" s="1"/>
  <c r="J38" i="1"/>
  <c r="K38" i="1" s="1"/>
  <c r="G38" i="1"/>
  <c r="H38" i="1" s="1"/>
  <c r="J37" i="1"/>
  <c r="K37" i="1" s="1"/>
  <c r="G37" i="1"/>
  <c r="H37" i="1" s="1"/>
  <c r="J36" i="1"/>
  <c r="K36" i="1" s="1"/>
  <c r="G36" i="1"/>
  <c r="H36" i="1" s="1"/>
  <c r="J35" i="1"/>
  <c r="K35" i="1" s="1"/>
  <c r="G35" i="1"/>
  <c r="H35" i="1" s="1"/>
  <c r="J34" i="1"/>
  <c r="K34" i="1" s="1"/>
  <c r="G34" i="1"/>
  <c r="H34" i="1" s="1"/>
  <c r="J33" i="1"/>
  <c r="K33" i="1" s="1"/>
  <c r="G33" i="1"/>
  <c r="H33" i="1" s="1"/>
  <c r="J32" i="1"/>
  <c r="K32" i="1" s="1"/>
  <c r="G32" i="1"/>
  <c r="H32" i="1" s="1"/>
  <c r="J31" i="1"/>
  <c r="K31" i="1" s="1"/>
  <c r="G31" i="1"/>
  <c r="H31" i="1" s="1"/>
  <c r="J30" i="1"/>
  <c r="K30" i="1" s="1"/>
  <c r="G30" i="1"/>
  <c r="H30" i="1" s="1"/>
  <c r="J29" i="1"/>
  <c r="K29" i="1" s="1"/>
  <c r="G29" i="1"/>
  <c r="H29" i="1" s="1"/>
  <c r="J28" i="1"/>
  <c r="K28" i="1" s="1"/>
  <c r="H28" i="1"/>
  <c r="K27" i="1"/>
  <c r="J27" i="1"/>
  <c r="H27" i="1"/>
  <c r="G27" i="1"/>
  <c r="K26" i="1"/>
  <c r="J26" i="1"/>
  <c r="G26" i="1"/>
  <c r="H26" i="1" s="1"/>
  <c r="K25" i="1"/>
  <c r="J25" i="1"/>
  <c r="H25" i="1"/>
  <c r="G25" i="1"/>
  <c r="K24" i="1"/>
  <c r="J24" i="1"/>
  <c r="G24" i="1"/>
  <c r="H24" i="1" s="1"/>
  <c r="K23" i="1"/>
  <c r="J23" i="1"/>
  <c r="H23" i="1"/>
  <c r="G23" i="1"/>
  <c r="K22" i="1"/>
  <c r="J22" i="1"/>
  <c r="G22" i="1"/>
  <c r="H22" i="1" s="1"/>
  <c r="K21" i="1"/>
  <c r="J21" i="1"/>
  <c r="H21" i="1"/>
  <c r="G21" i="1"/>
  <c r="K20" i="1"/>
  <c r="J20" i="1"/>
  <c r="G20" i="1"/>
  <c r="H20" i="1" s="1"/>
  <c r="K19" i="1"/>
  <c r="J19" i="1"/>
  <c r="H19" i="1"/>
  <c r="G19" i="1"/>
  <c r="K18" i="1"/>
  <c r="J18" i="1"/>
  <c r="G18" i="1"/>
  <c r="H18" i="1" s="1"/>
  <c r="K17" i="1"/>
  <c r="J17" i="1"/>
  <c r="H17" i="1"/>
  <c r="G17" i="1"/>
  <c r="K16" i="1"/>
  <c r="J16" i="1"/>
  <c r="G16" i="1"/>
  <c r="H16" i="1" s="1"/>
  <c r="K15" i="1"/>
  <c r="J15" i="1"/>
  <c r="H15" i="1"/>
  <c r="G15" i="1"/>
  <c r="K14" i="1"/>
  <c r="J14" i="1"/>
  <c r="G14" i="1"/>
  <c r="H14" i="1" s="1"/>
  <c r="K13" i="1"/>
  <c r="J13" i="1"/>
  <c r="H13" i="1"/>
  <c r="G13" i="1"/>
  <c r="K12" i="1"/>
  <c r="J12" i="1"/>
  <c r="G12" i="1"/>
  <c r="H12" i="1" s="1"/>
  <c r="K11" i="1"/>
  <c r="J11" i="1"/>
  <c r="H11" i="1"/>
  <c r="G11" i="1"/>
  <c r="K10" i="1"/>
  <c r="J10" i="1"/>
  <c r="G10" i="1"/>
  <c r="H10" i="1" s="1"/>
  <c r="K9" i="1"/>
  <c r="J9" i="1"/>
  <c r="H9" i="1"/>
  <c r="G9" i="1"/>
  <c r="K8" i="1"/>
  <c r="J8" i="1"/>
  <c r="G8" i="1"/>
  <c r="H8" i="1" s="1"/>
  <c r="K7" i="1"/>
  <c r="J7" i="1"/>
  <c r="H7" i="1"/>
  <c r="G7" i="1"/>
  <c r="K6" i="1"/>
  <c r="J6" i="1"/>
  <c r="G6" i="1"/>
  <c r="H6" i="1" s="1"/>
  <c r="K5" i="1"/>
  <c r="J5" i="1"/>
  <c r="H5" i="1"/>
  <c r="G5" i="1"/>
  <c r="K4" i="1"/>
  <c r="J4" i="1"/>
  <c r="G4" i="1"/>
  <c r="H4" i="1" s="1"/>
  <c r="K3" i="1"/>
  <c r="J3" i="1"/>
  <c r="H3" i="1"/>
  <c r="G3" i="1"/>
  <c r="H2" i="1"/>
  <c r="G2" i="1"/>
  <c r="G3" i="4" l="1"/>
  <c r="I3" i="4" s="1"/>
  <c r="G6" i="4"/>
  <c r="I6" i="4" s="1"/>
  <c r="G8" i="4"/>
  <c r="I8" i="4" s="1"/>
  <c r="G10" i="4"/>
  <c r="I10" i="4" s="1"/>
</calcChain>
</file>

<file path=xl/sharedStrings.xml><?xml version="1.0" encoding="utf-8"?>
<sst xmlns="http://schemas.openxmlformats.org/spreadsheetml/2006/main" count="303" uniqueCount="195">
  <si>
    <t>CANTIDAD</t>
  </si>
  <si>
    <t>OEM</t>
  </si>
  <si>
    <t>CODIGO</t>
  </si>
  <si>
    <t xml:space="preserve">DESCRIPCIÓN </t>
  </si>
  <si>
    <t>P. COMPRA</t>
  </si>
  <si>
    <t>P. VENTA</t>
  </si>
  <si>
    <t>UTILIDAD 30</t>
  </si>
  <si>
    <t xml:space="preserve"> UNUDAD VENTA</t>
  </si>
  <si>
    <t>UTILIDAD 20</t>
  </si>
  <si>
    <t>PROVEEDOR</t>
  </si>
  <si>
    <t>27301-2B010</t>
  </si>
  <si>
    <t>RM-BE01B</t>
  </si>
  <si>
    <t>HYUNDAY UNIVERSAL GEL VERDE</t>
  </si>
  <si>
    <t>ROIS MOTORS IMPORT</t>
  </si>
  <si>
    <t>90919-02240</t>
  </si>
  <si>
    <t>RM-BE02</t>
  </si>
  <si>
    <t>TOYOTA YARIS PROBOX ORIGINAL</t>
  </si>
  <si>
    <t>27301-03200</t>
  </si>
  <si>
    <t>RM-BEO3</t>
  </si>
  <si>
    <t>HYUNDAY ACCENT, CERATO</t>
  </si>
  <si>
    <t>RM-BE04</t>
  </si>
  <si>
    <t>BOBINA BOSH  GEELY. GLORY</t>
  </si>
  <si>
    <t>27300-3F100</t>
  </si>
  <si>
    <t>RM-BE05</t>
  </si>
  <si>
    <t>SONATA, KIA SPORTAGE, TUCSON</t>
  </si>
  <si>
    <t>90919-02258</t>
  </si>
  <si>
    <t>RM-BE06</t>
  </si>
  <si>
    <t xml:space="preserve">TOYOTA COROLLA </t>
  </si>
  <si>
    <t>1026102GAA</t>
  </si>
  <si>
    <t>RM-BE07</t>
  </si>
  <si>
    <t>JAC REFINE BOSH</t>
  </si>
  <si>
    <t>27300-2E000</t>
  </si>
  <si>
    <t>RM-BE08</t>
  </si>
  <si>
    <t>HYUNDAY ELANTRA, TUCSON</t>
  </si>
  <si>
    <t>90919-C2004</t>
  </si>
  <si>
    <t>RM-BE09</t>
  </si>
  <si>
    <t xml:space="preserve">TOYOTA AVANZA </t>
  </si>
  <si>
    <t>33400-65G01</t>
  </si>
  <si>
    <t>RM-BE12</t>
  </si>
  <si>
    <t>SUZUKI APV</t>
  </si>
  <si>
    <t>DQG3128C</t>
  </si>
  <si>
    <t xml:space="preserve">RM-BE13 </t>
  </si>
  <si>
    <t xml:space="preserve">CARROS CHINOS </t>
  </si>
  <si>
    <t>22448-ED000</t>
  </si>
  <si>
    <t xml:space="preserve">RM-BE16 </t>
  </si>
  <si>
    <t>NISSAN TIIDA KR15</t>
  </si>
  <si>
    <t>33400-51K60</t>
  </si>
  <si>
    <t>RM-BE18</t>
  </si>
  <si>
    <t xml:space="preserve">SUZUKI SWIFT BALENO ERTIGA </t>
  </si>
  <si>
    <t>CE87877-11B1</t>
  </si>
  <si>
    <t xml:space="preserve">RM-BE23 </t>
  </si>
  <si>
    <t xml:space="preserve">LIFAN HAFEI GELLY (COMBIS) </t>
  </si>
  <si>
    <t xml:space="preserve"> </t>
  </si>
  <si>
    <t>F 01R 00A 013</t>
  </si>
  <si>
    <t>RM-BE25</t>
  </si>
  <si>
    <t>GREAT WALL VOLEX C30 BOSH</t>
  </si>
  <si>
    <t>F01R00A027</t>
  </si>
  <si>
    <t>RM-BE27</t>
  </si>
  <si>
    <t>CHEVROLET N200 N300</t>
  </si>
  <si>
    <t>90919-T2010</t>
  </si>
  <si>
    <t>RM-BE30</t>
  </si>
  <si>
    <t>TOYOTA ETIOS, YARIS MODERNO</t>
  </si>
  <si>
    <t>RM-BE31</t>
  </si>
  <si>
    <t>CHEVROLET SAIL</t>
  </si>
  <si>
    <t>22448-1KT1A</t>
  </si>
  <si>
    <t>RM-BE34</t>
  </si>
  <si>
    <t>NISSAN SENTRA ALTIMA MURANO</t>
  </si>
  <si>
    <t>RM-BE35</t>
  </si>
  <si>
    <t>CHANGAN VAN  TURISMO JAC ZOTYE BOSH</t>
  </si>
  <si>
    <t>RM-BE36</t>
  </si>
  <si>
    <t>CHEVROLET AVEO DELPHI</t>
  </si>
  <si>
    <t>RM-BE41</t>
  </si>
  <si>
    <t>CHEVY, CORSA DAEWOO LANOS 19005252</t>
  </si>
  <si>
    <t>F01R00A045</t>
  </si>
  <si>
    <t>RM-BE52</t>
  </si>
  <si>
    <t>CHANGAN FOTON F01R00A045BOSH</t>
  </si>
  <si>
    <t>RM-BE39</t>
  </si>
  <si>
    <t>NISSAN AD CM1T-227</t>
  </si>
  <si>
    <t>MD155852</t>
  </si>
  <si>
    <t>RM-BE44</t>
  </si>
  <si>
    <t xml:space="preserve">BOBINA NISSAN/MITSUBISHI </t>
  </si>
  <si>
    <t>473QE-3705100A</t>
  </si>
  <si>
    <t>BYD F3</t>
  </si>
  <si>
    <t>PEDIR</t>
  </si>
  <si>
    <t>33400-51k60</t>
  </si>
  <si>
    <t>SUZUKI CIAZ</t>
  </si>
  <si>
    <t>33410-77E01</t>
  </si>
  <si>
    <t>27301-0400</t>
  </si>
  <si>
    <t>HYUNDAI I10 KIA PICANTO</t>
  </si>
  <si>
    <t>NGK</t>
  </si>
  <si>
    <t>SC-E06</t>
  </si>
  <si>
    <t>NISSAN GA 15,16</t>
  </si>
  <si>
    <t>SC-G03</t>
  </si>
  <si>
    <t xml:space="preserve">CHEVROLET AVEO </t>
  </si>
  <si>
    <t>SC-G106</t>
  </si>
  <si>
    <t>CHEVROLET N300</t>
  </si>
  <si>
    <t>SC-N09</t>
  </si>
  <si>
    <t>KIA RIO</t>
  </si>
  <si>
    <t>SC-W01</t>
  </si>
  <si>
    <t>TOYOTA TERCEL</t>
  </si>
  <si>
    <t>SC-W02</t>
  </si>
  <si>
    <t>MIT. LANCER,LIBERO</t>
  </si>
  <si>
    <t>P.VENTA</t>
  </si>
  <si>
    <t>M-183 101 006</t>
  </si>
  <si>
    <t>SOLENOIDE DE VOLVO</t>
  </si>
  <si>
    <t>M-183 450 001</t>
  </si>
  <si>
    <t>MAGNETO DE VOLVO</t>
  </si>
  <si>
    <t>M-082 966 090</t>
  </si>
  <si>
    <t xml:space="preserve">REGULADOR T/BARCO 14V. </t>
  </si>
  <si>
    <t>M-082 966 304</t>
  </si>
  <si>
    <t>REGULADOR T/BARCO 24V.</t>
  </si>
  <si>
    <t>MARGEN DE UTILIDAD</t>
  </si>
  <si>
    <t>UTILIDAD</t>
  </si>
  <si>
    <t>RC-NE08</t>
  </si>
  <si>
    <t>RM-CB01</t>
  </si>
  <si>
    <t>NISSAN GA16 DEPPON</t>
  </si>
  <si>
    <t xml:space="preserve">1026104GAA </t>
  </si>
  <si>
    <t>RM-CB02</t>
  </si>
  <si>
    <t>JAC REFINE DEPPON</t>
  </si>
  <si>
    <t>RM-CB03</t>
  </si>
  <si>
    <t>CHEVROLET AVEO DEPPON</t>
  </si>
  <si>
    <t>27501-26D00</t>
  </si>
  <si>
    <t>RM-CB04</t>
  </si>
  <si>
    <t>HYUNDAY ACCENT KIA RIO  ANTIGUO ORIGINAL</t>
  </si>
  <si>
    <t>27430-030100</t>
  </si>
  <si>
    <t>RM-CB05</t>
  </si>
  <si>
    <t>110 PIKANTO KIA RIO MODERNO ORIGINAL</t>
  </si>
  <si>
    <t>90919-21611</t>
  </si>
  <si>
    <t>RM-CB06</t>
  </si>
  <si>
    <t>TOYOTA HIACE / LITIACE ORIGINAL</t>
  </si>
  <si>
    <t>MD365102</t>
  </si>
  <si>
    <t>RM-CB07</t>
  </si>
  <si>
    <t>MITSUBISHI LANCER CHANGAN 1.6L 2002-2006 ORIGINAL</t>
  </si>
  <si>
    <t>33705-80G00./33730-56K00</t>
  </si>
  <si>
    <t>RM-CB08</t>
  </si>
  <si>
    <t>CHANGAN SUZUKI SWIF CAÑA LARGA</t>
  </si>
  <si>
    <t>33705-66D00</t>
  </si>
  <si>
    <t>RM-CB09</t>
  </si>
  <si>
    <t>CHANGAN SUZUKI SWIF CAÑA CORTA ORIGINAL</t>
  </si>
  <si>
    <t>RM-CB10</t>
  </si>
  <si>
    <t xml:space="preserve">N200 N300  ORGINAL GM </t>
  </si>
  <si>
    <t>RM-CB11</t>
  </si>
  <si>
    <t>RENAULT DEPPON</t>
  </si>
  <si>
    <t>22450-53J88</t>
  </si>
  <si>
    <t>RM-CB14</t>
  </si>
  <si>
    <t xml:space="preserve">NISSAN BLUEBIRD PATHFINDER </t>
  </si>
  <si>
    <t>tuycsobn</t>
  </si>
  <si>
    <t>P.COMPRA TC:3.4</t>
  </si>
  <si>
    <t>P. VENTA 1</t>
  </si>
  <si>
    <t>P. VENTA 4</t>
  </si>
  <si>
    <t>UTILIDAD 4</t>
  </si>
  <si>
    <t>CAJA 10UND</t>
  </si>
  <si>
    <t>ALISSON 4UND</t>
  </si>
  <si>
    <t>SILZKR6B10E-JP</t>
  </si>
  <si>
    <t>KIA RIO, VERSA, SOLUTO</t>
  </si>
  <si>
    <t>LFR5A-11</t>
  </si>
  <si>
    <t xml:space="preserve">NISSAN SENTRA QG18 </t>
  </si>
  <si>
    <t xml:space="preserve">BKR5EKB-11 </t>
  </si>
  <si>
    <t xml:space="preserve">2 ELECTRODOS </t>
  </si>
  <si>
    <t>DCPR7E</t>
  </si>
  <si>
    <t>BKR5E-11</t>
  </si>
  <si>
    <t>RESISTOR</t>
  </si>
  <si>
    <t>LKR6D-10E</t>
  </si>
  <si>
    <t>KIA PICANTO</t>
  </si>
  <si>
    <t>LZKR6B-10E</t>
  </si>
  <si>
    <t>HYUNDAI ACCENT, ELANTRA, KIA RIO, KIA SOUL</t>
  </si>
  <si>
    <t>BKR6B-11</t>
  </si>
  <si>
    <t>LZKAR6AP-11</t>
  </si>
  <si>
    <t>NISSAN TIIDA HR15</t>
  </si>
  <si>
    <t>KO.93490-2E001</t>
  </si>
  <si>
    <t>Hyundai Tucson 2005-2010 compatible con Kia Sportage 2005-2010</t>
  </si>
  <si>
    <t>KO.93490-1R410</t>
  </si>
  <si>
    <t>Accent 11 (2011-2014)</t>
  </si>
  <si>
    <t>KO.93490-2M000</t>
  </si>
  <si>
    <t>HYUNDAI TUCSON 2010-</t>
  </si>
  <si>
    <t>KO.93490-1Y010</t>
  </si>
  <si>
    <t> KIA PICANTO 11-17 INTERMEDIO BASICO</t>
  </si>
  <si>
    <t>HA.93110-3S000</t>
  </si>
  <si>
    <t>para Hyundai Elantra 13-16 Genesis 13-16 Sonata 11-14 Kia Soul 14-19 Rio 12-17 Sportage 11-16 Optima 11</t>
  </si>
  <si>
    <t>HA.93741069</t>
  </si>
  <si>
    <t>CONMUTADOR DE ARRANQUE DAEWOO RACER, CIELO 1988-2005</t>
  </si>
  <si>
    <t>GN.CBS-TY40</t>
  </si>
  <si>
    <t>TOYOTA COROLLA TERCEL RAV 2000-2010</t>
  </si>
  <si>
    <t>GN.CBS-N14</t>
  </si>
  <si>
    <t>NISSAN B13</t>
  </si>
  <si>
    <t>GN.CBS-N01</t>
  </si>
  <si>
    <t>NISSA  SENTRA SENTRA B15 NISSAN AD</t>
  </si>
  <si>
    <t>MO.93810-3K00</t>
  </si>
  <si>
    <t>HYUNDAI, ELANTRA SONATA 1995-2000</t>
  </si>
  <si>
    <t>MO.93810-3S000</t>
  </si>
  <si>
    <t>HYUNDAI, ACCENT ELANTRA 2011-2014</t>
  </si>
  <si>
    <t>MO.25500-2B000</t>
  </si>
  <si>
    <t xml:space="preserve"> VELOSTER 12-21 ELANTRA 17-20 ACCENT 12-19 SONATA 15-19 TUCSON 16-18 , KIA PICANTO RIO PRIDE 2011-UP</t>
  </si>
  <si>
    <t>MO.43621-4A211</t>
  </si>
  <si>
    <t>HYUNDAI STAREX H100,   2002-2008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</si>
</sst>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[$S/-280A]&quot; &quot;#,##0.00&quot; &quot;;&quot;-&quot;[$S/-280A]&quot; &quot;#,##0.00&quot; &quot;;&quot; &quot;[$S/-280A]&quot; -&quot;00&quot; &quot;;&quot; &quot;@&quot; &quot;"/>
    <numFmt numFmtId="165" formatCode="[$S/-280A]&quot; &quot;#,##0.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u/>
      <sz val="11"/>
      <color rgb="FFFF0000"/>
      <name val="Calibri"/>
      <family val="2"/>
    </font>
    <font>
      <sz val="10"/>
      <color rgb="FF0F1111"/>
      <name val="Arial"/>
      <family val="2"/>
    </font>
    <font>
      <sz val="11"/>
      <color rgb="FF333333"/>
      <name val="Arial"/>
      <family val="2"/>
    </font>
    <font>
      <sz val="9"/>
      <color rgb="FF111111"/>
      <name val="Arial"/>
      <family val="2"/>
    </font>
    <font>
      <sz val="9"/>
      <color rgb="FF333333"/>
      <name val="Arial"/>
      <family val="2"/>
    </font>
    <font>
      <sz val="9"/>
      <color rgb="FF0F1111"/>
      <name val="Arial"/>
      <family val="2"/>
    </font>
    <font>
      <sz val="8"/>
      <color rgb="FF171717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9" fontId="0" fillId="0" borderId="1" xfId="0" applyNumberFormat="1" applyFill="1" applyBorder="1" applyAlignment="1">
      <alignment horizontal="right"/>
    </xf>
    <xf numFmtId="0" fontId="0" fillId="2" borderId="1" xfId="0" applyFill="1" applyBorder="1"/>
    <xf numFmtId="0" fontId="0" fillId="3" borderId="1" xfId="0" applyFill="1" applyBorder="1"/>
    <xf numFmtId="9" fontId="0" fillId="0" borderId="1" xfId="0" applyNumberFormat="1" applyFill="1" applyBorder="1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wrapText="1"/>
    </xf>
    <xf numFmtId="9" fontId="1" fillId="0" borderId="1" xfId="2" applyFill="1" applyBorder="1" applyAlignment="1">
      <alignment horizontal="right"/>
    </xf>
    <xf numFmtId="164" fontId="0" fillId="2" borderId="1" xfId="0" applyNumberFormat="1" applyFill="1" applyBorder="1"/>
    <xf numFmtId="164" fontId="0" fillId="3" borderId="1" xfId="0" applyNumberFormat="1" applyFill="1" applyBorder="1"/>
    <xf numFmtId="0" fontId="2" fillId="4" borderId="1" xfId="0" applyFont="1" applyFill="1" applyBorder="1" applyAlignment="1">
      <alignment horizontal="center"/>
    </xf>
    <xf numFmtId="164" fontId="0" fillId="0" borderId="1" xfId="0" applyNumberFormat="1" applyFill="1" applyBorder="1"/>
    <xf numFmtId="0" fontId="0" fillId="0" borderId="1" xfId="0" applyFill="1" applyBorder="1"/>
    <xf numFmtId="164" fontId="1" fillId="0" borderId="0" xfId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9" fontId="1" fillId="0" borderId="1" xfId="2" applyBorder="1"/>
    <xf numFmtId="164" fontId="1" fillId="0" borderId="1" xfId="1" applyBorder="1"/>
    <xf numFmtId="0" fontId="0" fillId="0" borderId="2" xfId="0" applyFill="1" applyBorder="1"/>
    <xf numFmtId="0" fontId="0" fillId="0" borderId="0" xfId="0" applyFill="1"/>
    <xf numFmtId="165" fontId="0" fillId="0" borderId="3" xfId="0" applyNumberFormat="1" applyBorder="1"/>
    <xf numFmtId="0" fontId="0" fillId="0" borderId="4" xfId="0" applyBorder="1"/>
    <xf numFmtId="164" fontId="1" fillId="3" borderId="1" xfId="1" applyFill="1" applyBorder="1"/>
    <xf numFmtId="164" fontId="1" fillId="0" borderId="4" xfId="1" applyBorder="1"/>
    <xf numFmtId="0" fontId="0" fillId="0" borderId="3" xfId="0" applyBorder="1"/>
    <xf numFmtId="0" fontId="0" fillId="0" borderId="5" xfId="0" applyBorder="1"/>
    <xf numFmtId="0" fontId="3" fillId="0" borderId="0" xfId="0" applyFont="1" applyAlignment="1">
      <alignment vertical="center" wrapText="1"/>
    </xf>
    <xf numFmtId="164" fontId="0" fillId="0" borderId="0" xfId="0" applyNumberFormat="1"/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164" fontId="1" fillId="0" borderId="0" xfId="1" applyFill="1"/>
    <xf numFmtId="0" fontId="7" fillId="0" borderId="0" xfId="0" applyFont="1" applyAlignment="1">
      <alignment vertical="center" wrapText="1"/>
    </xf>
    <xf numFmtId="9" fontId="1" fillId="0" borderId="0" xfId="2"/>
    <xf numFmtId="165" fontId="0" fillId="0" borderId="0" xfId="0" applyNumberFormat="1"/>
    <xf numFmtId="0" fontId="8" fillId="0" borderId="0" xfId="0" applyFont="1"/>
    <xf numFmtId="0" fontId="9" fillId="0" borderId="0" xfId="0" applyFont="1" applyAlignment="1">
      <alignment vertical="center" wrapText="1"/>
    </xf>
    <xf numFmtId="0" fontId="0" fillId="0" borderId="0" xfId="0" applyAlignment="1">
      <alignment horizontal="left" vertical="top"/>
    </xf>
  </cellXfs>
  <cellStyles count="3">
    <cellStyle name="Moneda" xfId="1" builtinId="4" customBuiltin="1"/>
    <cellStyle name="Normal" xfId="0" builtinId="0" customBuiltin="1"/>
    <cellStyle name="Porcentaje" xfId="2" builtinId="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D65C-2593-42DE-8102-6A07F7D49EB9}">
  <dimension ref="A1:M44"/>
  <sheetViews>
    <sheetView tabSelected="1" workbookViewId="0"/>
  </sheetViews>
  <sheetFormatPr baseColWidth="10" defaultRowHeight="15" x14ac:dyDescent="0.25"/>
  <cols>
    <col min="1" max="1" width="11.42578125" style="1" customWidth="1"/>
    <col min="2" max="2" width="23" style="1" customWidth="1"/>
    <col min="3" max="3" width="11.42578125" style="1" customWidth="1"/>
    <col min="4" max="4" width="45.7109375" style="1" customWidth="1"/>
    <col min="5" max="5" width="11.42578125" style="1" customWidth="1"/>
    <col min="6" max="6" width="5.85546875" style="1" customWidth="1"/>
    <col min="7" max="7" width="11.42578125" style="13" customWidth="1"/>
    <col min="8" max="8" width="11.42578125" style="12" customWidth="1"/>
    <col min="9" max="9" width="6" style="1" customWidth="1"/>
    <col min="10" max="11" width="11.42578125" style="4" customWidth="1"/>
    <col min="12" max="12" width="23" style="1" customWidth="1"/>
    <col min="13" max="13" width="11.42578125" style="1" customWidth="1"/>
    <col min="14" max="16384" width="11.42578125" style="1"/>
  </cols>
  <sheetData>
    <row r="1" spans="1:1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0.3</v>
      </c>
      <c r="G1" s="3" t="s">
        <v>5</v>
      </c>
      <c r="H1" s="4" t="s">
        <v>6</v>
      </c>
      <c r="I1" s="5">
        <v>0.2</v>
      </c>
      <c r="J1" s="3" t="s">
        <v>7</v>
      </c>
      <c r="K1" s="4" t="s">
        <v>8</v>
      </c>
      <c r="L1" s="1" t="s">
        <v>9</v>
      </c>
      <c r="M1" s="1"/>
    </row>
    <row r="2" spans="1:13" customFormat="1" ht="21" customHeight="1" x14ac:dyDescent="0.25">
      <c r="A2" s="1">
        <v>4</v>
      </c>
      <c r="B2" s="6" t="s">
        <v>10</v>
      </c>
      <c r="C2" s="1" t="s">
        <v>11</v>
      </c>
      <c r="D2" s="1" t="s">
        <v>12</v>
      </c>
      <c r="E2" s="7">
        <v>60</v>
      </c>
      <c r="F2" s="8">
        <v>0.3</v>
      </c>
      <c r="G2" s="9">
        <f t="shared" ref="G2:G27" si="0">E2/(1-F2)</f>
        <v>85.714285714285722</v>
      </c>
      <c r="H2" s="10">
        <f t="shared" ref="H2:H43" si="1">G2-E2</f>
        <v>25.714285714285722</v>
      </c>
      <c r="I2" s="5">
        <v>0.2</v>
      </c>
      <c r="J2" s="9">
        <v>75</v>
      </c>
      <c r="K2" s="10">
        <v>15</v>
      </c>
      <c r="L2" s="1" t="s">
        <v>13</v>
      </c>
      <c r="M2" s="1"/>
    </row>
    <row r="3" spans="1:13" customFormat="1" x14ac:dyDescent="0.25">
      <c r="A3" s="1">
        <v>4</v>
      </c>
      <c r="B3" s="6" t="s">
        <v>14</v>
      </c>
      <c r="C3" s="1" t="s">
        <v>15</v>
      </c>
      <c r="D3" s="1" t="s">
        <v>16</v>
      </c>
      <c r="E3" s="7">
        <v>60</v>
      </c>
      <c r="F3" s="8">
        <v>0.3</v>
      </c>
      <c r="G3" s="9">
        <f t="shared" si="0"/>
        <v>85.714285714285722</v>
      </c>
      <c r="H3" s="10">
        <f t="shared" si="1"/>
        <v>25.714285714285722</v>
      </c>
      <c r="I3" s="5">
        <v>0.2</v>
      </c>
      <c r="J3" s="9">
        <f t="shared" ref="J3:J43" si="2">E3/(1-I3)</f>
        <v>75</v>
      </c>
      <c r="K3" s="10">
        <f t="shared" ref="K3:K43" si="3">J3-E3</f>
        <v>15</v>
      </c>
      <c r="L3" s="1" t="s">
        <v>13</v>
      </c>
      <c r="M3" s="1"/>
    </row>
    <row r="4" spans="1:13" customFormat="1" x14ac:dyDescent="0.25">
      <c r="A4" s="1">
        <v>4</v>
      </c>
      <c r="B4" s="6" t="s">
        <v>17</v>
      </c>
      <c r="C4" s="1" t="s">
        <v>18</v>
      </c>
      <c r="D4" s="1" t="s">
        <v>19</v>
      </c>
      <c r="E4" s="7">
        <v>64</v>
      </c>
      <c r="F4" s="8">
        <v>0.3</v>
      </c>
      <c r="G4" s="9">
        <f t="shared" si="0"/>
        <v>91.428571428571431</v>
      </c>
      <c r="H4" s="10">
        <f t="shared" si="1"/>
        <v>27.428571428571431</v>
      </c>
      <c r="I4" s="5">
        <v>0.2</v>
      </c>
      <c r="J4" s="9">
        <f t="shared" si="2"/>
        <v>80</v>
      </c>
      <c r="K4" s="10">
        <f t="shared" si="3"/>
        <v>16</v>
      </c>
      <c r="L4" s="1" t="s">
        <v>13</v>
      </c>
      <c r="M4" s="1"/>
    </row>
    <row r="5" spans="1:13" customFormat="1" x14ac:dyDescent="0.25">
      <c r="A5" s="1">
        <v>2</v>
      </c>
      <c r="B5" s="6">
        <v>28244734</v>
      </c>
      <c r="C5" s="1" t="s">
        <v>20</v>
      </c>
      <c r="D5" s="1" t="s">
        <v>21</v>
      </c>
      <c r="E5" s="7">
        <v>69</v>
      </c>
      <c r="F5" s="8">
        <v>0.3</v>
      </c>
      <c r="G5" s="9">
        <f t="shared" si="0"/>
        <v>98.571428571428584</v>
      </c>
      <c r="H5" s="10">
        <f t="shared" si="1"/>
        <v>29.571428571428584</v>
      </c>
      <c r="I5" s="5">
        <v>0.2</v>
      </c>
      <c r="J5" s="9">
        <f t="shared" si="2"/>
        <v>86.25</v>
      </c>
      <c r="K5" s="10">
        <f t="shared" si="3"/>
        <v>17.25</v>
      </c>
      <c r="L5" s="1" t="s">
        <v>13</v>
      </c>
      <c r="M5" s="1"/>
    </row>
    <row r="6" spans="1:13" customFormat="1" x14ac:dyDescent="0.25">
      <c r="A6" s="1">
        <v>4</v>
      </c>
      <c r="B6" s="6" t="s">
        <v>22</v>
      </c>
      <c r="C6" s="1" t="s">
        <v>23</v>
      </c>
      <c r="D6" s="1" t="s">
        <v>24</v>
      </c>
      <c r="E6" s="7">
        <v>65</v>
      </c>
      <c r="F6" s="8">
        <v>0.3</v>
      </c>
      <c r="G6" s="9">
        <f t="shared" si="0"/>
        <v>92.857142857142861</v>
      </c>
      <c r="H6" s="10">
        <f t="shared" si="1"/>
        <v>27.857142857142861</v>
      </c>
      <c r="I6" s="5">
        <v>0.2</v>
      </c>
      <c r="J6" s="9">
        <f t="shared" si="2"/>
        <v>81.25</v>
      </c>
      <c r="K6" s="10">
        <f t="shared" si="3"/>
        <v>16.25</v>
      </c>
      <c r="L6" s="1" t="s">
        <v>13</v>
      </c>
      <c r="M6" s="1"/>
    </row>
    <row r="7" spans="1:13" customFormat="1" x14ac:dyDescent="0.25">
      <c r="A7" s="1">
        <v>4</v>
      </c>
      <c r="B7" s="6" t="s">
        <v>25</v>
      </c>
      <c r="C7" s="1" t="s">
        <v>26</v>
      </c>
      <c r="D7" s="1" t="s">
        <v>27</v>
      </c>
      <c r="E7" s="7">
        <v>69</v>
      </c>
      <c r="F7" s="8">
        <v>0.3</v>
      </c>
      <c r="G7" s="9">
        <f t="shared" si="0"/>
        <v>98.571428571428584</v>
      </c>
      <c r="H7" s="10">
        <f t="shared" si="1"/>
        <v>29.571428571428584</v>
      </c>
      <c r="I7" s="5">
        <v>0.2</v>
      </c>
      <c r="J7" s="9">
        <f t="shared" si="2"/>
        <v>86.25</v>
      </c>
      <c r="K7" s="10">
        <f t="shared" si="3"/>
        <v>17.25</v>
      </c>
      <c r="L7" s="1" t="s">
        <v>13</v>
      </c>
      <c r="M7" s="1"/>
    </row>
    <row r="8" spans="1:13" customFormat="1" x14ac:dyDescent="0.25">
      <c r="A8" s="1">
        <v>2</v>
      </c>
      <c r="B8" s="6" t="s">
        <v>28</v>
      </c>
      <c r="C8" s="1" t="s">
        <v>29</v>
      </c>
      <c r="D8" s="1" t="s">
        <v>30</v>
      </c>
      <c r="E8" s="7">
        <v>69</v>
      </c>
      <c r="F8" s="8">
        <v>0.3</v>
      </c>
      <c r="G8" s="9">
        <f t="shared" si="0"/>
        <v>98.571428571428584</v>
      </c>
      <c r="H8" s="10">
        <f t="shared" si="1"/>
        <v>29.571428571428584</v>
      </c>
      <c r="I8" s="5">
        <v>0.2</v>
      </c>
      <c r="J8" s="9">
        <f t="shared" si="2"/>
        <v>86.25</v>
      </c>
      <c r="K8" s="10">
        <f t="shared" si="3"/>
        <v>17.25</v>
      </c>
      <c r="L8" s="1" t="s">
        <v>13</v>
      </c>
      <c r="M8" s="1"/>
    </row>
    <row r="9" spans="1:13" customFormat="1" x14ac:dyDescent="0.25">
      <c r="A9" s="1">
        <v>4</v>
      </c>
      <c r="B9" s="6" t="s">
        <v>31</v>
      </c>
      <c r="C9" s="1" t="s">
        <v>32</v>
      </c>
      <c r="D9" s="1" t="s">
        <v>33</v>
      </c>
      <c r="E9" s="7">
        <v>65</v>
      </c>
      <c r="F9" s="8">
        <v>0.3</v>
      </c>
      <c r="G9" s="9">
        <f t="shared" si="0"/>
        <v>92.857142857142861</v>
      </c>
      <c r="H9" s="10">
        <f t="shared" si="1"/>
        <v>27.857142857142861</v>
      </c>
      <c r="I9" s="5">
        <v>0.2</v>
      </c>
      <c r="J9" s="9">
        <f t="shared" si="2"/>
        <v>81.25</v>
      </c>
      <c r="K9" s="10">
        <f t="shared" si="3"/>
        <v>16.25</v>
      </c>
      <c r="L9" s="1" t="s">
        <v>13</v>
      </c>
      <c r="M9" s="1"/>
    </row>
    <row r="10" spans="1:13" customFormat="1" x14ac:dyDescent="0.25">
      <c r="A10" s="1">
        <v>4</v>
      </c>
      <c r="B10" s="6" t="s">
        <v>34</v>
      </c>
      <c r="C10" s="1" t="s">
        <v>35</v>
      </c>
      <c r="D10" s="1" t="s">
        <v>36</v>
      </c>
      <c r="E10" s="7">
        <v>69</v>
      </c>
      <c r="F10" s="8">
        <v>0.3</v>
      </c>
      <c r="G10" s="9">
        <f t="shared" si="0"/>
        <v>98.571428571428584</v>
      </c>
      <c r="H10" s="10">
        <f t="shared" si="1"/>
        <v>29.571428571428584</v>
      </c>
      <c r="I10" s="5">
        <v>0.2</v>
      </c>
      <c r="J10" s="9">
        <f t="shared" si="2"/>
        <v>86.25</v>
      </c>
      <c r="K10" s="10">
        <f t="shared" si="3"/>
        <v>17.25</v>
      </c>
      <c r="L10" s="1" t="s">
        <v>13</v>
      </c>
      <c r="M10" s="1"/>
    </row>
    <row r="11" spans="1:13" customFormat="1" x14ac:dyDescent="0.25">
      <c r="A11" s="1"/>
      <c r="B11" s="6" t="s">
        <v>37</v>
      </c>
      <c r="C11" s="1" t="s">
        <v>38</v>
      </c>
      <c r="D11" s="1" t="s">
        <v>39</v>
      </c>
      <c r="E11" s="7">
        <v>65</v>
      </c>
      <c r="F11" s="8">
        <v>0.3</v>
      </c>
      <c r="G11" s="9">
        <f t="shared" si="0"/>
        <v>92.857142857142861</v>
      </c>
      <c r="H11" s="10">
        <f t="shared" si="1"/>
        <v>27.857142857142861</v>
      </c>
      <c r="I11" s="5">
        <v>0.2</v>
      </c>
      <c r="J11" s="9">
        <f t="shared" si="2"/>
        <v>81.25</v>
      </c>
      <c r="K11" s="10">
        <f t="shared" si="3"/>
        <v>16.25</v>
      </c>
      <c r="L11" s="1" t="s">
        <v>13</v>
      </c>
      <c r="M11" s="1"/>
    </row>
    <row r="12" spans="1:13" customFormat="1" x14ac:dyDescent="0.25">
      <c r="A12" s="1">
        <v>2</v>
      </c>
      <c r="B12" s="6" t="s">
        <v>40</v>
      </c>
      <c r="C12" s="1" t="s">
        <v>41</v>
      </c>
      <c r="D12" s="1" t="s">
        <v>42</v>
      </c>
      <c r="E12" s="7">
        <v>69</v>
      </c>
      <c r="F12" s="8">
        <v>0.3</v>
      </c>
      <c r="G12" s="9">
        <f t="shared" si="0"/>
        <v>98.571428571428584</v>
      </c>
      <c r="H12" s="10">
        <f t="shared" si="1"/>
        <v>29.571428571428584</v>
      </c>
      <c r="I12" s="5">
        <v>0.2</v>
      </c>
      <c r="J12" s="9">
        <f t="shared" si="2"/>
        <v>86.25</v>
      </c>
      <c r="K12" s="10">
        <f t="shared" si="3"/>
        <v>17.25</v>
      </c>
      <c r="L12" s="1" t="s">
        <v>13</v>
      </c>
      <c r="M12" s="1"/>
    </row>
    <row r="13" spans="1:13" customFormat="1" x14ac:dyDescent="0.25">
      <c r="A13" s="1">
        <v>4</v>
      </c>
      <c r="B13" s="6" t="s">
        <v>43</v>
      </c>
      <c r="C13" s="1" t="s">
        <v>44</v>
      </c>
      <c r="D13" s="1" t="s">
        <v>45</v>
      </c>
      <c r="E13" s="7">
        <v>69</v>
      </c>
      <c r="F13" s="8">
        <v>0.3</v>
      </c>
      <c r="G13" s="9">
        <f t="shared" si="0"/>
        <v>98.571428571428584</v>
      </c>
      <c r="H13" s="10">
        <f t="shared" si="1"/>
        <v>29.571428571428584</v>
      </c>
      <c r="I13" s="5">
        <v>0.2</v>
      </c>
      <c r="J13" s="9">
        <f t="shared" si="2"/>
        <v>86.25</v>
      </c>
      <c r="K13" s="10">
        <f t="shared" si="3"/>
        <v>17.25</v>
      </c>
      <c r="L13" s="1" t="s">
        <v>13</v>
      </c>
      <c r="M13" s="1"/>
    </row>
    <row r="14" spans="1:13" customFormat="1" x14ac:dyDescent="0.25">
      <c r="A14" s="1"/>
      <c r="B14" s="6" t="s">
        <v>46</v>
      </c>
      <c r="C14" s="1" t="s">
        <v>47</v>
      </c>
      <c r="D14" s="1" t="s">
        <v>48</v>
      </c>
      <c r="E14" s="7">
        <v>65</v>
      </c>
      <c r="F14" s="8">
        <v>0.3</v>
      </c>
      <c r="G14" s="9">
        <f t="shared" si="0"/>
        <v>92.857142857142861</v>
      </c>
      <c r="H14" s="10">
        <f t="shared" si="1"/>
        <v>27.857142857142861</v>
      </c>
      <c r="I14" s="5">
        <v>0.2</v>
      </c>
      <c r="J14" s="9">
        <f t="shared" si="2"/>
        <v>81.25</v>
      </c>
      <c r="K14" s="10">
        <f t="shared" si="3"/>
        <v>16.25</v>
      </c>
      <c r="L14" s="1" t="s">
        <v>13</v>
      </c>
      <c r="M14" s="1"/>
    </row>
    <row r="15" spans="1:13" customFormat="1" x14ac:dyDescent="0.25">
      <c r="A15" s="1">
        <v>2</v>
      </c>
      <c r="B15" s="6" t="s">
        <v>49</v>
      </c>
      <c r="C15" s="1" t="s">
        <v>50</v>
      </c>
      <c r="D15" s="1" t="s">
        <v>51</v>
      </c>
      <c r="E15" s="7">
        <v>69</v>
      </c>
      <c r="F15" s="8">
        <v>0.3</v>
      </c>
      <c r="G15" s="9">
        <f t="shared" si="0"/>
        <v>98.571428571428584</v>
      </c>
      <c r="H15" s="10">
        <f t="shared" si="1"/>
        <v>29.571428571428584</v>
      </c>
      <c r="I15" s="5">
        <v>0.2</v>
      </c>
      <c r="J15" s="9">
        <f t="shared" si="2"/>
        <v>86.25</v>
      </c>
      <c r="K15" s="10">
        <f t="shared" si="3"/>
        <v>17.25</v>
      </c>
      <c r="L15" s="1" t="s">
        <v>13</v>
      </c>
      <c r="M15" s="1"/>
    </row>
    <row r="16" spans="1:13" customFormat="1" x14ac:dyDescent="0.25">
      <c r="A16" s="1" t="s">
        <v>52</v>
      </c>
      <c r="B16" s="6" t="s">
        <v>53</v>
      </c>
      <c r="C16" s="1" t="s">
        <v>54</v>
      </c>
      <c r="D16" s="1" t="s">
        <v>55</v>
      </c>
      <c r="E16" s="7">
        <v>65</v>
      </c>
      <c r="F16" s="8">
        <v>0.2</v>
      </c>
      <c r="G16" s="9">
        <f t="shared" si="0"/>
        <v>81.25</v>
      </c>
      <c r="H16" s="10">
        <f t="shared" si="1"/>
        <v>16.25</v>
      </c>
      <c r="I16" s="5">
        <v>0.2</v>
      </c>
      <c r="J16" s="9">
        <f t="shared" si="2"/>
        <v>81.25</v>
      </c>
      <c r="K16" s="10">
        <f t="shared" si="3"/>
        <v>16.25</v>
      </c>
      <c r="L16" s="1" t="s">
        <v>13</v>
      </c>
      <c r="M16" s="1"/>
    </row>
    <row r="17" spans="1:13" customFormat="1" x14ac:dyDescent="0.25">
      <c r="A17" s="1">
        <v>2</v>
      </c>
      <c r="B17" s="6" t="s">
        <v>56</v>
      </c>
      <c r="C17" s="1" t="s">
        <v>57</v>
      </c>
      <c r="D17" s="1" t="s">
        <v>58</v>
      </c>
      <c r="E17" s="7">
        <v>69</v>
      </c>
      <c r="F17" s="8">
        <v>0.2</v>
      </c>
      <c r="G17" s="9">
        <f t="shared" si="0"/>
        <v>86.25</v>
      </c>
      <c r="H17" s="10">
        <f t="shared" si="1"/>
        <v>17.25</v>
      </c>
      <c r="I17" s="5">
        <v>0.2</v>
      </c>
      <c r="J17" s="9">
        <f t="shared" si="2"/>
        <v>86.25</v>
      </c>
      <c r="K17" s="10">
        <f t="shared" si="3"/>
        <v>17.25</v>
      </c>
      <c r="L17" s="1" t="s">
        <v>13</v>
      </c>
      <c r="M17" s="1"/>
    </row>
    <row r="18" spans="1:13" customFormat="1" x14ac:dyDescent="0.25">
      <c r="A18" s="1">
        <v>4</v>
      </c>
      <c r="B18" s="6" t="s">
        <v>59</v>
      </c>
      <c r="C18" s="1" t="s">
        <v>60</v>
      </c>
      <c r="D18" s="1" t="s">
        <v>61</v>
      </c>
      <c r="E18" s="7">
        <v>69</v>
      </c>
      <c r="F18" s="8">
        <v>0.3</v>
      </c>
      <c r="G18" s="9">
        <f t="shared" si="0"/>
        <v>98.571428571428584</v>
      </c>
      <c r="H18" s="10">
        <f t="shared" si="1"/>
        <v>29.571428571428584</v>
      </c>
      <c r="I18" s="5">
        <v>0.2</v>
      </c>
      <c r="J18" s="9">
        <f t="shared" si="2"/>
        <v>86.25</v>
      </c>
      <c r="K18" s="10">
        <f t="shared" si="3"/>
        <v>17.25</v>
      </c>
      <c r="L18" s="1" t="s">
        <v>13</v>
      </c>
      <c r="M18" s="1"/>
    </row>
    <row r="19" spans="1:13" customFormat="1" x14ac:dyDescent="0.25">
      <c r="A19" s="1">
        <v>4</v>
      </c>
      <c r="B19" s="6">
        <v>9023781</v>
      </c>
      <c r="C19" s="1" t="s">
        <v>62</v>
      </c>
      <c r="D19" s="1" t="s">
        <v>63</v>
      </c>
      <c r="E19" s="7">
        <v>69</v>
      </c>
      <c r="F19" s="8">
        <v>0.3</v>
      </c>
      <c r="G19" s="9">
        <f t="shared" si="0"/>
        <v>98.571428571428584</v>
      </c>
      <c r="H19" s="10">
        <f t="shared" si="1"/>
        <v>29.571428571428584</v>
      </c>
      <c r="I19" s="5">
        <v>0.2</v>
      </c>
      <c r="J19" s="9">
        <f t="shared" si="2"/>
        <v>86.25</v>
      </c>
      <c r="K19" s="10">
        <f t="shared" si="3"/>
        <v>17.25</v>
      </c>
      <c r="L19" s="1" t="s">
        <v>13</v>
      </c>
      <c r="M19" s="1"/>
    </row>
    <row r="20" spans="1:13" customFormat="1" x14ac:dyDescent="0.25">
      <c r="A20" s="1">
        <v>4</v>
      </c>
      <c r="B20" s="6" t="s">
        <v>64</v>
      </c>
      <c r="C20" s="1" t="s">
        <v>65</v>
      </c>
      <c r="D20" s="1" t="s">
        <v>66</v>
      </c>
      <c r="E20" s="7">
        <v>69</v>
      </c>
      <c r="F20" s="8">
        <v>0.3</v>
      </c>
      <c r="G20" s="9">
        <f t="shared" si="0"/>
        <v>98.571428571428584</v>
      </c>
      <c r="H20" s="10">
        <f t="shared" si="1"/>
        <v>29.571428571428584</v>
      </c>
      <c r="I20" s="5">
        <v>0.2</v>
      </c>
      <c r="J20" s="9">
        <f t="shared" si="2"/>
        <v>86.25</v>
      </c>
      <c r="K20" s="10">
        <f t="shared" si="3"/>
        <v>17.25</v>
      </c>
      <c r="L20" s="1" t="s">
        <v>13</v>
      </c>
      <c r="M20" s="1"/>
    </row>
    <row r="21" spans="1:13" customFormat="1" x14ac:dyDescent="0.25">
      <c r="A21" s="1">
        <v>2</v>
      </c>
      <c r="B21" s="6">
        <v>221500802</v>
      </c>
      <c r="C21" s="1" t="s">
        <v>67</v>
      </c>
      <c r="D21" s="1" t="s">
        <v>68</v>
      </c>
      <c r="E21" s="7">
        <v>69</v>
      </c>
      <c r="F21" s="8">
        <v>0.3</v>
      </c>
      <c r="G21" s="9">
        <f t="shared" si="0"/>
        <v>98.571428571428584</v>
      </c>
      <c r="H21" s="10">
        <f t="shared" si="1"/>
        <v>29.571428571428584</v>
      </c>
      <c r="I21" s="5">
        <v>0.2</v>
      </c>
      <c r="J21" s="9">
        <f t="shared" si="2"/>
        <v>86.25</v>
      </c>
      <c r="K21" s="10">
        <f t="shared" si="3"/>
        <v>17.25</v>
      </c>
      <c r="L21" s="1" t="s">
        <v>13</v>
      </c>
      <c r="M21" s="1"/>
    </row>
    <row r="22" spans="1:13" customFormat="1" x14ac:dyDescent="0.25">
      <c r="A22" s="1">
        <v>2</v>
      </c>
      <c r="B22" s="6">
        <v>96253555</v>
      </c>
      <c r="C22" s="1" t="s">
        <v>69</v>
      </c>
      <c r="D22" s="1" t="s">
        <v>70</v>
      </c>
      <c r="E22" s="7">
        <v>105</v>
      </c>
      <c r="F22" s="8">
        <v>0.3</v>
      </c>
      <c r="G22" s="9">
        <f t="shared" si="0"/>
        <v>150</v>
      </c>
      <c r="H22" s="10">
        <f t="shared" si="1"/>
        <v>45</v>
      </c>
      <c r="I22" s="5">
        <v>0.2</v>
      </c>
      <c r="J22" s="9">
        <f t="shared" si="2"/>
        <v>131.25</v>
      </c>
      <c r="K22" s="10">
        <f t="shared" si="3"/>
        <v>26.25</v>
      </c>
      <c r="L22" s="1" t="s">
        <v>13</v>
      </c>
      <c r="M22" s="1"/>
    </row>
    <row r="23" spans="1:13" customFormat="1" x14ac:dyDescent="0.25">
      <c r="A23" s="1">
        <v>2</v>
      </c>
      <c r="B23" s="6">
        <v>19005252</v>
      </c>
      <c r="C23" s="1" t="s">
        <v>71</v>
      </c>
      <c r="D23" s="1" t="s">
        <v>72</v>
      </c>
      <c r="E23" s="7">
        <v>105</v>
      </c>
      <c r="F23" s="8">
        <v>0.3</v>
      </c>
      <c r="G23" s="9">
        <f t="shared" si="0"/>
        <v>150</v>
      </c>
      <c r="H23" s="10">
        <f t="shared" si="1"/>
        <v>45</v>
      </c>
      <c r="I23" s="5">
        <v>0.2</v>
      </c>
      <c r="J23" s="9">
        <f t="shared" si="2"/>
        <v>131.25</v>
      </c>
      <c r="K23" s="10">
        <f t="shared" si="3"/>
        <v>26.25</v>
      </c>
      <c r="L23" s="1" t="s">
        <v>13</v>
      </c>
      <c r="M23" s="1"/>
    </row>
    <row r="24" spans="1:13" customFormat="1" x14ac:dyDescent="0.25">
      <c r="A24" s="1">
        <v>2</v>
      </c>
      <c r="B24" s="6" t="s">
        <v>73</v>
      </c>
      <c r="C24" s="1" t="s">
        <v>74</v>
      </c>
      <c r="D24" s="1" t="s">
        <v>75</v>
      </c>
      <c r="E24" s="7">
        <v>69</v>
      </c>
      <c r="F24" s="8">
        <v>0.3</v>
      </c>
      <c r="G24" s="9">
        <f t="shared" si="0"/>
        <v>98.571428571428584</v>
      </c>
      <c r="H24" s="10">
        <f t="shared" si="1"/>
        <v>29.571428571428584</v>
      </c>
      <c r="I24" s="5">
        <v>0.2</v>
      </c>
      <c r="J24" s="9">
        <f t="shared" si="2"/>
        <v>86.25</v>
      </c>
      <c r="K24" s="10">
        <f t="shared" si="3"/>
        <v>17.25</v>
      </c>
      <c r="L24" s="1" t="s">
        <v>13</v>
      </c>
      <c r="M24" s="1"/>
    </row>
    <row r="25" spans="1:13" customFormat="1" x14ac:dyDescent="0.25">
      <c r="A25" s="1"/>
      <c r="B25" s="6"/>
      <c r="C25" s="1" t="s">
        <v>76</v>
      </c>
      <c r="D25" s="1" t="s">
        <v>77</v>
      </c>
      <c r="E25" s="7">
        <v>65</v>
      </c>
      <c r="F25" s="8">
        <v>0.3</v>
      </c>
      <c r="G25" s="9">
        <f t="shared" si="0"/>
        <v>92.857142857142861</v>
      </c>
      <c r="H25" s="10">
        <f t="shared" si="1"/>
        <v>27.857142857142861</v>
      </c>
      <c r="I25" s="5">
        <v>0.2</v>
      </c>
      <c r="J25" s="9">
        <f t="shared" si="2"/>
        <v>81.25</v>
      </c>
      <c r="K25" s="10">
        <f t="shared" si="3"/>
        <v>16.25</v>
      </c>
      <c r="L25" s="1" t="s">
        <v>13</v>
      </c>
      <c r="M25" s="1"/>
    </row>
    <row r="26" spans="1:13" customFormat="1" x14ac:dyDescent="0.25">
      <c r="A26" s="1"/>
      <c r="B26" s="6" t="s">
        <v>78</v>
      </c>
      <c r="C26" s="1" t="s">
        <v>79</v>
      </c>
      <c r="D26" s="1" t="s">
        <v>80</v>
      </c>
      <c r="E26" s="7">
        <v>65</v>
      </c>
      <c r="F26" s="8">
        <v>0.3</v>
      </c>
      <c r="G26" s="9">
        <f t="shared" si="0"/>
        <v>92.857142857142861</v>
      </c>
      <c r="H26" s="10">
        <f t="shared" si="1"/>
        <v>27.857142857142861</v>
      </c>
      <c r="I26" s="5">
        <v>0.2</v>
      </c>
      <c r="J26" s="9">
        <f t="shared" si="2"/>
        <v>81.25</v>
      </c>
      <c r="K26" s="10">
        <f t="shared" si="3"/>
        <v>16.25</v>
      </c>
      <c r="L26" s="1" t="s">
        <v>13</v>
      </c>
      <c r="M26" s="1"/>
    </row>
    <row r="27" spans="1:13" customFormat="1" x14ac:dyDescent="0.25">
      <c r="A27" s="1">
        <v>6</v>
      </c>
      <c r="B27" s="6" t="s">
        <v>81</v>
      </c>
      <c r="C27" s="1"/>
      <c r="D27" s="1" t="s">
        <v>82</v>
      </c>
      <c r="E27" s="7">
        <v>65</v>
      </c>
      <c r="F27" s="8">
        <v>0.3</v>
      </c>
      <c r="G27" s="9">
        <f t="shared" si="0"/>
        <v>92.857142857142861</v>
      </c>
      <c r="H27" s="10">
        <f t="shared" si="1"/>
        <v>27.857142857142861</v>
      </c>
      <c r="I27" s="5">
        <v>0.2</v>
      </c>
      <c r="J27" s="9">
        <f t="shared" si="2"/>
        <v>81.25</v>
      </c>
      <c r="K27" s="10">
        <f t="shared" si="3"/>
        <v>16.25</v>
      </c>
      <c r="L27" s="1"/>
      <c r="M27" s="1"/>
    </row>
    <row r="28" spans="1:13" customFormat="1" x14ac:dyDescent="0.25">
      <c r="A28" s="1" t="s">
        <v>83</v>
      </c>
      <c r="B28" s="1" t="s">
        <v>84</v>
      </c>
      <c r="C28" s="1"/>
      <c r="D28" s="1" t="s">
        <v>85</v>
      </c>
      <c r="E28" s="7"/>
      <c r="F28" s="8">
        <v>0.3</v>
      </c>
      <c r="G28" s="9">
        <v>120</v>
      </c>
      <c r="H28" s="10">
        <f t="shared" si="1"/>
        <v>120</v>
      </c>
      <c r="I28" s="5">
        <v>0.2</v>
      </c>
      <c r="J28" s="9">
        <f t="shared" si="2"/>
        <v>0</v>
      </c>
      <c r="K28" s="10">
        <f t="shared" si="3"/>
        <v>0</v>
      </c>
      <c r="L28" s="1"/>
      <c r="M28" s="1"/>
    </row>
    <row r="29" spans="1:13" customFormat="1" x14ac:dyDescent="0.25">
      <c r="A29" s="1" t="s">
        <v>83</v>
      </c>
      <c r="B29" s="1" t="s">
        <v>86</v>
      </c>
      <c r="C29" s="1"/>
      <c r="D29" s="1" t="s">
        <v>39</v>
      </c>
      <c r="E29" s="1"/>
      <c r="F29" s="8">
        <v>0.3</v>
      </c>
      <c r="G29" s="9">
        <f t="shared" ref="G29:G43" si="4">E29/(1-F29)</f>
        <v>0</v>
      </c>
      <c r="H29" s="10">
        <f t="shared" si="1"/>
        <v>0</v>
      </c>
      <c r="I29" s="5">
        <v>0.2</v>
      </c>
      <c r="J29" s="9">
        <f t="shared" si="2"/>
        <v>0</v>
      </c>
      <c r="K29" s="10">
        <f t="shared" si="3"/>
        <v>0</v>
      </c>
      <c r="L29" s="1"/>
      <c r="M29" s="1"/>
    </row>
    <row r="30" spans="1:13" customFormat="1" x14ac:dyDescent="0.25">
      <c r="A30" s="1"/>
      <c r="B30" s="1" t="s">
        <v>87</v>
      </c>
      <c r="C30" s="1"/>
      <c r="D30" s="1" t="s">
        <v>88</v>
      </c>
      <c r="E30" s="1"/>
      <c r="F30" s="8">
        <v>0.3</v>
      </c>
      <c r="G30" s="9">
        <f t="shared" si="4"/>
        <v>0</v>
      </c>
      <c r="H30" s="10">
        <f t="shared" si="1"/>
        <v>0</v>
      </c>
      <c r="I30" s="5">
        <v>0.2</v>
      </c>
      <c r="J30" s="9">
        <f t="shared" si="2"/>
        <v>0</v>
      </c>
      <c r="K30" s="10">
        <f t="shared" si="3"/>
        <v>0</v>
      </c>
      <c r="L30" s="1"/>
      <c r="M30" s="1"/>
    </row>
    <row r="31" spans="1:13" customFormat="1" x14ac:dyDescent="0.25">
      <c r="A31" s="1"/>
      <c r="B31" s="1"/>
      <c r="C31" s="1"/>
      <c r="D31" s="1"/>
      <c r="E31" s="1"/>
      <c r="F31" s="8">
        <v>0.3</v>
      </c>
      <c r="G31" s="9">
        <f t="shared" si="4"/>
        <v>0</v>
      </c>
      <c r="H31" s="10">
        <f t="shared" si="1"/>
        <v>0</v>
      </c>
      <c r="I31" s="5">
        <v>0.2</v>
      </c>
      <c r="J31" s="9">
        <f t="shared" si="2"/>
        <v>0</v>
      </c>
      <c r="K31" s="10">
        <f t="shared" si="3"/>
        <v>0</v>
      </c>
      <c r="L31" s="1"/>
      <c r="M31" s="1"/>
    </row>
    <row r="32" spans="1:13" customFormat="1" x14ac:dyDescent="0.25">
      <c r="A32" s="1"/>
      <c r="B32" s="1"/>
      <c r="C32" s="1"/>
      <c r="D32" s="1"/>
      <c r="E32" s="1"/>
      <c r="F32" s="8">
        <v>0.3</v>
      </c>
      <c r="G32" s="9">
        <f t="shared" si="4"/>
        <v>0</v>
      </c>
      <c r="H32" s="10">
        <f t="shared" si="1"/>
        <v>0</v>
      </c>
      <c r="I32" s="5">
        <v>0.2</v>
      </c>
      <c r="J32" s="9">
        <f t="shared" si="2"/>
        <v>0</v>
      </c>
      <c r="K32" s="10">
        <f t="shared" si="3"/>
        <v>0</v>
      </c>
      <c r="L32" s="1"/>
      <c r="M32" s="1"/>
    </row>
    <row r="33" spans="1:13" customFormat="1" x14ac:dyDescent="0.25">
      <c r="A33" s="1"/>
      <c r="B33" s="1"/>
      <c r="C33" s="1"/>
      <c r="D33" s="1"/>
      <c r="E33" s="1"/>
      <c r="F33" s="8">
        <v>0.3</v>
      </c>
      <c r="G33" s="9">
        <f t="shared" si="4"/>
        <v>0</v>
      </c>
      <c r="H33" s="10">
        <f t="shared" si="1"/>
        <v>0</v>
      </c>
      <c r="I33" s="5">
        <v>0.2</v>
      </c>
      <c r="J33" s="9">
        <f t="shared" si="2"/>
        <v>0</v>
      </c>
      <c r="K33" s="10">
        <f t="shared" si="3"/>
        <v>0</v>
      </c>
      <c r="L33" s="1"/>
      <c r="M33" s="1"/>
    </row>
    <row r="34" spans="1:13" customFormat="1" x14ac:dyDescent="0.25">
      <c r="A34" s="1"/>
      <c r="B34" s="1"/>
      <c r="C34" s="1"/>
      <c r="D34" s="1"/>
      <c r="E34" s="1"/>
      <c r="F34" s="8">
        <v>0.3</v>
      </c>
      <c r="G34" s="9">
        <f t="shared" si="4"/>
        <v>0</v>
      </c>
      <c r="H34" s="10">
        <f t="shared" si="1"/>
        <v>0</v>
      </c>
      <c r="I34" s="5">
        <v>0.2</v>
      </c>
      <c r="J34" s="9">
        <f t="shared" si="2"/>
        <v>0</v>
      </c>
      <c r="K34" s="10">
        <f t="shared" si="3"/>
        <v>0</v>
      </c>
      <c r="L34" s="1"/>
      <c r="M34" s="1"/>
    </row>
    <row r="35" spans="1:13" x14ac:dyDescent="0.25">
      <c r="F35" s="8">
        <v>0.3</v>
      </c>
      <c r="G35" s="9">
        <f t="shared" si="4"/>
        <v>0</v>
      </c>
      <c r="H35" s="10">
        <f t="shared" si="1"/>
        <v>0</v>
      </c>
      <c r="I35" s="5">
        <v>0.2</v>
      </c>
      <c r="J35" s="9">
        <f t="shared" si="2"/>
        <v>0</v>
      </c>
      <c r="K35" s="10">
        <f t="shared" si="3"/>
        <v>0</v>
      </c>
    </row>
    <row r="36" spans="1:13" x14ac:dyDescent="0.25">
      <c r="F36" s="8">
        <v>0.3</v>
      </c>
      <c r="G36" s="9">
        <f t="shared" si="4"/>
        <v>0</v>
      </c>
      <c r="H36" s="10">
        <f t="shared" si="1"/>
        <v>0</v>
      </c>
      <c r="I36" s="5">
        <v>0.2</v>
      </c>
      <c r="J36" s="9">
        <f t="shared" si="2"/>
        <v>0</v>
      </c>
      <c r="K36" s="10">
        <f t="shared" si="3"/>
        <v>0</v>
      </c>
    </row>
    <row r="37" spans="1:13" x14ac:dyDescent="0.25">
      <c r="D37" s="11" t="s">
        <v>89</v>
      </c>
      <c r="F37" s="8">
        <v>0.3</v>
      </c>
      <c r="G37" s="9">
        <f t="shared" si="4"/>
        <v>0</v>
      </c>
      <c r="H37" s="10">
        <f t="shared" si="1"/>
        <v>0</v>
      </c>
      <c r="I37" s="5">
        <v>0.2</v>
      </c>
      <c r="J37" s="9">
        <f t="shared" si="2"/>
        <v>0</v>
      </c>
      <c r="K37" s="10">
        <f t="shared" si="3"/>
        <v>0</v>
      </c>
    </row>
    <row r="38" spans="1:13" x14ac:dyDescent="0.25">
      <c r="B38" s="1" t="s">
        <v>90</v>
      </c>
      <c r="D38" s="1" t="s">
        <v>91</v>
      </c>
      <c r="E38" s="1">
        <v>67.2</v>
      </c>
      <c r="F38" s="8">
        <v>0.3</v>
      </c>
      <c r="G38" s="9">
        <f t="shared" si="4"/>
        <v>96.000000000000014</v>
      </c>
      <c r="H38" s="10">
        <f t="shared" si="1"/>
        <v>28.800000000000011</v>
      </c>
      <c r="I38" s="5">
        <v>0.2</v>
      </c>
      <c r="J38" s="9">
        <f t="shared" si="2"/>
        <v>84</v>
      </c>
      <c r="K38" s="10">
        <f t="shared" si="3"/>
        <v>16.799999999999997</v>
      </c>
    </row>
    <row r="39" spans="1:13" x14ac:dyDescent="0.25">
      <c r="B39" s="1" t="s">
        <v>92</v>
      </c>
      <c r="D39" s="1" t="s">
        <v>93</v>
      </c>
      <c r="E39" s="1">
        <v>43.1</v>
      </c>
      <c r="F39" s="8">
        <v>0.3</v>
      </c>
      <c r="G39" s="9">
        <f t="shared" si="4"/>
        <v>61.571428571428577</v>
      </c>
      <c r="H39" s="10">
        <f t="shared" si="1"/>
        <v>18.471428571428575</v>
      </c>
      <c r="I39" s="5">
        <v>0.2</v>
      </c>
      <c r="J39" s="9">
        <f t="shared" si="2"/>
        <v>53.875</v>
      </c>
      <c r="K39" s="10">
        <f t="shared" si="3"/>
        <v>10.774999999999999</v>
      </c>
    </row>
    <row r="40" spans="1:13" x14ac:dyDescent="0.25">
      <c r="B40" s="1" t="s">
        <v>94</v>
      </c>
      <c r="D40" s="1" t="s">
        <v>95</v>
      </c>
      <c r="E40" s="1">
        <v>59.1</v>
      </c>
      <c r="F40" s="8">
        <v>0.3</v>
      </c>
      <c r="G40" s="9">
        <f t="shared" si="4"/>
        <v>84.428571428571431</v>
      </c>
      <c r="H40" s="10">
        <f t="shared" si="1"/>
        <v>25.328571428571429</v>
      </c>
      <c r="I40" s="5">
        <v>0.2</v>
      </c>
      <c r="J40" s="9">
        <f t="shared" si="2"/>
        <v>73.875</v>
      </c>
      <c r="K40" s="10">
        <f t="shared" si="3"/>
        <v>14.774999999999999</v>
      </c>
    </row>
    <row r="41" spans="1:13" x14ac:dyDescent="0.25">
      <c r="B41" s="1" t="s">
        <v>96</v>
      </c>
      <c r="D41" s="1" t="s">
        <v>97</v>
      </c>
      <c r="E41" s="1">
        <v>59.8</v>
      </c>
      <c r="F41" s="8">
        <v>0.3</v>
      </c>
      <c r="G41" s="9">
        <f t="shared" si="4"/>
        <v>85.428571428571431</v>
      </c>
      <c r="H41" s="10">
        <f t="shared" si="1"/>
        <v>25.628571428571433</v>
      </c>
      <c r="I41" s="5">
        <v>0.2</v>
      </c>
      <c r="J41" s="9">
        <f t="shared" si="2"/>
        <v>74.749999999999986</v>
      </c>
      <c r="K41" s="10">
        <f t="shared" si="3"/>
        <v>14.949999999999989</v>
      </c>
    </row>
    <row r="42" spans="1:13" x14ac:dyDescent="0.25">
      <c r="B42" s="1" t="s">
        <v>98</v>
      </c>
      <c r="D42" s="1" t="s">
        <v>99</v>
      </c>
      <c r="E42" s="1">
        <v>41.8</v>
      </c>
      <c r="F42" s="8">
        <v>0.3</v>
      </c>
      <c r="G42" s="9">
        <f t="shared" si="4"/>
        <v>59.714285714285715</v>
      </c>
      <c r="H42" s="10">
        <f t="shared" si="1"/>
        <v>17.914285714285718</v>
      </c>
      <c r="I42" s="5">
        <v>0.2</v>
      </c>
      <c r="J42" s="9">
        <f t="shared" si="2"/>
        <v>52.249999999999993</v>
      </c>
      <c r="K42" s="10">
        <f t="shared" si="3"/>
        <v>10.449999999999996</v>
      </c>
    </row>
    <row r="43" spans="1:13" x14ac:dyDescent="0.25">
      <c r="B43" s="1" t="s">
        <v>100</v>
      </c>
      <c r="D43" s="1" t="s">
        <v>101</v>
      </c>
      <c r="E43" s="1">
        <v>41.1</v>
      </c>
      <c r="F43" s="8">
        <v>0.3</v>
      </c>
      <c r="G43" s="9">
        <f t="shared" si="4"/>
        <v>58.714285714285722</v>
      </c>
      <c r="H43" s="12">
        <f t="shared" si="1"/>
        <v>17.614285714285721</v>
      </c>
      <c r="J43" s="9">
        <f t="shared" si="2"/>
        <v>41.1</v>
      </c>
      <c r="K43" s="10">
        <f t="shared" si="3"/>
        <v>0</v>
      </c>
    </row>
    <row r="44" spans="1:13" x14ac:dyDescent="0.25">
      <c r="F44" s="8">
        <v>0.3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9DC7F-F08E-4B40-A640-15E00848914D}">
  <dimension ref="A1:M10"/>
  <sheetViews>
    <sheetView workbookViewId="0"/>
  </sheetViews>
  <sheetFormatPr baseColWidth="10" defaultRowHeight="15" x14ac:dyDescent="0.25"/>
  <cols>
    <col min="1" max="2" width="11.42578125" customWidth="1"/>
    <col min="3" max="3" width="14.28515625" customWidth="1"/>
    <col min="4" max="4" width="24.7109375" customWidth="1"/>
    <col min="5" max="5" width="11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0.3</v>
      </c>
      <c r="G1" s="3" t="s">
        <v>5</v>
      </c>
      <c r="H1" s="4" t="s">
        <v>6</v>
      </c>
      <c r="I1" s="5">
        <v>0.2</v>
      </c>
      <c r="J1" s="3" t="s">
        <v>102</v>
      </c>
      <c r="K1" s="4" t="s">
        <v>8</v>
      </c>
      <c r="L1" s="1" t="s">
        <v>9</v>
      </c>
      <c r="M1" s="1"/>
    </row>
    <row r="2" spans="1:13" x14ac:dyDescent="0.25">
      <c r="C2" t="s">
        <v>103</v>
      </c>
      <c r="D2" t="s">
        <v>104</v>
      </c>
      <c r="E2" s="14">
        <v>80</v>
      </c>
      <c r="F2" s="2">
        <v>0.3</v>
      </c>
      <c r="G2" s="14">
        <v>130</v>
      </c>
    </row>
    <row r="3" spans="1:13" x14ac:dyDescent="0.25">
      <c r="C3" t="s">
        <v>105</v>
      </c>
      <c r="D3" t="s">
        <v>106</v>
      </c>
      <c r="E3" s="14">
        <v>91</v>
      </c>
      <c r="G3" s="14">
        <v>150</v>
      </c>
    </row>
    <row r="4" spans="1:13" x14ac:dyDescent="0.25">
      <c r="C4" t="s">
        <v>107</v>
      </c>
      <c r="D4" t="s">
        <v>108</v>
      </c>
      <c r="E4" s="14">
        <v>34</v>
      </c>
      <c r="G4" s="14">
        <v>65</v>
      </c>
    </row>
    <row r="5" spans="1:13" x14ac:dyDescent="0.25">
      <c r="C5" t="s">
        <v>109</v>
      </c>
      <c r="D5" t="s">
        <v>110</v>
      </c>
      <c r="E5" s="14">
        <v>57</v>
      </c>
      <c r="G5" s="14">
        <v>85</v>
      </c>
    </row>
    <row r="6" spans="1:13" x14ac:dyDescent="0.25">
      <c r="E6" s="14"/>
    </row>
    <row r="7" spans="1:13" x14ac:dyDescent="0.25">
      <c r="E7" s="14"/>
    </row>
    <row r="8" spans="1:13" x14ac:dyDescent="0.25">
      <c r="E8" s="14"/>
    </row>
    <row r="9" spans="1:13" x14ac:dyDescent="0.25">
      <c r="E9" s="14"/>
    </row>
    <row r="10" spans="1:13" x14ac:dyDescent="0.25">
      <c r="E10" s="14"/>
    </row>
  </sheetData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6B1DF-52B6-4484-B5E6-27A38357091A}">
  <dimension ref="A1:I26"/>
  <sheetViews>
    <sheetView workbookViewId="0"/>
  </sheetViews>
  <sheetFormatPr baseColWidth="10" defaultRowHeight="15" x14ac:dyDescent="0.25"/>
  <cols>
    <col min="1" max="1" width="11.42578125" style="1" customWidth="1"/>
    <col min="2" max="2" width="22.7109375" style="1" customWidth="1"/>
    <col min="3" max="3" width="11.42578125" style="1" customWidth="1"/>
    <col min="4" max="4" width="57" style="1" customWidth="1"/>
    <col min="5" max="5" width="11.42578125" style="1" customWidth="1"/>
    <col min="6" max="6" width="22.7109375" style="1" customWidth="1"/>
    <col min="7" max="8" width="11.42578125" style="1" customWidth="1"/>
    <col min="9" max="9" width="22.85546875" style="1" customWidth="1"/>
    <col min="10" max="10" width="11.42578125" style="1" customWidth="1"/>
    <col min="11" max="16384" width="11.42578125" style="1"/>
  </cols>
  <sheetData>
    <row r="1" spans="1:9" x14ac:dyDescent="0.25">
      <c r="A1" s="1" t="s">
        <v>0</v>
      </c>
      <c r="B1" s="15" t="s">
        <v>1</v>
      </c>
      <c r="C1" s="1" t="s">
        <v>2</v>
      </c>
      <c r="D1" s="1" t="s">
        <v>3</v>
      </c>
      <c r="E1" s="1" t="s">
        <v>4</v>
      </c>
      <c r="F1" s="1" t="s">
        <v>111</v>
      </c>
      <c r="G1" s="4" t="s">
        <v>5</v>
      </c>
      <c r="H1" s="1" t="s">
        <v>112</v>
      </c>
      <c r="I1" s="1" t="s">
        <v>9</v>
      </c>
    </row>
    <row r="2" spans="1:9" x14ac:dyDescent="0.25">
      <c r="A2" s="1">
        <v>2</v>
      </c>
      <c r="B2" s="15" t="s">
        <v>113</v>
      </c>
      <c r="C2" s="1" t="s">
        <v>114</v>
      </c>
      <c r="D2" s="1" t="s">
        <v>115</v>
      </c>
      <c r="E2" s="16">
        <v>49</v>
      </c>
      <c r="F2" s="17">
        <v>0.3</v>
      </c>
      <c r="G2" s="10">
        <f t="shared" ref="G2:G26" si="0">E2/(1-F2)</f>
        <v>70</v>
      </c>
      <c r="H2" s="18">
        <f t="shared" ref="H2:H26" si="1">G2-E2</f>
        <v>21</v>
      </c>
      <c r="I2" s="1" t="s">
        <v>13</v>
      </c>
    </row>
    <row r="3" spans="1:9" x14ac:dyDescent="0.25">
      <c r="A3" s="1">
        <v>2</v>
      </c>
      <c r="B3" s="15" t="s">
        <v>116</v>
      </c>
      <c r="C3" s="1" t="s">
        <v>117</v>
      </c>
      <c r="D3" s="1" t="s">
        <v>118</v>
      </c>
      <c r="E3" s="16">
        <v>45</v>
      </c>
      <c r="F3" s="17">
        <v>0.3</v>
      </c>
      <c r="G3" s="10">
        <f t="shared" si="0"/>
        <v>64.285714285714292</v>
      </c>
      <c r="H3" s="18">
        <f t="shared" si="1"/>
        <v>19.285714285714292</v>
      </c>
      <c r="I3" s="1" t="s">
        <v>13</v>
      </c>
    </row>
    <row r="4" spans="1:9" x14ac:dyDescent="0.25">
      <c r="A4" s="1">
        <v>2</v>
      </c>
      <c r="B4" s="15">
        <v>96497773</v>
      </c>
      <c r="C4" s="1" t="s">
        <v>119</v>
      </c>
      <c r="D4" s="1" t="s">
        <v>120</v>
      </c>
      <c r="E4" s="16">
        <v>55</v>
      </c>
      <c r="F4" s="17">
        <v>0.3</v>
      </c>
      <c r="G4" s="10">
        <f t="shared" si="0"/>
        <v>78.571428571428569</v>
      </c>
      <c r="H4" s="18">
        <f t="shared" si="1"/>
        <v>23.571428571428569</v>
      </c>
      <c r="I4" s="1" t="s">
        <v>13</v>
      </c>
    </row>
    <row r="5" spans="1:9" x14ac:dyDescent="0.25">
      <c r="A5" s="1">
        <v>2</v>
      </c>
      <c r="B5" s="15" t="s">
        <v>121</v>
      </c>
      <c r="C5" s="1" t="s">
        <v>122</v>
      </c>
      <c r="D5" s="1" t="s">
        <v>123</v>
      </c>
      <c r="E5" s="16">
        <v>45</v>
      </c>
      <c r="F5" s="17">
        <v>0.3</v>
      </c>
      <c r="G5" s="10">
        <f t="shared" si="0"/>
        <v>64.285714285714292</v>
      </c>
      <c r="H5" s="18">
        <f t="shared" si="1"/>
        <v>19.285714285714292</v>
      </c>
      <c r="I5" s="1" t="s">
        <v>13</v>
      </c>
    </row>
    <row r="6" spans="1:9" x14ac:dyDescent="0.25">
      <c r="A6" s="1">
        <v>2</v>
      </c>
      <c r="B6" s="15" t="s">
        <v>124</v>
      </c>
      <c r="C6" s="1" t="s">
        <v>125</v>
      </c>
      <c r="D6" s="1" t="s">
        <v>126</v>
      </c>
      <c r="E6" s="16">
        <v>49</v>
      </c>
      <c r="F6" s="17">
        <v>0.3</v>
      </c>
      <c r="G6" s="10">
        <f t="shared" si="0"/>
        <v>70</v>
      </c>
      <c r="H6" s="18">
        <f t="shared" si="1"/>
        <v>21</v>
      </c>
      <c r="I6" s="1" t="s">
        <v>13</v>
      </c>
    </row>
    <row r="7" spans="1:9" x14ac:dyDescent="0.25">
      <c r="A7" s="1">
        <v>2</v>
      </c>
      <c r="B7" s="15" t="s">
        <v>127</v>
      </c>
      <c r="C7" s="1" t="s">
        <v>128</v>
      </c>
      <c r="D7" s="1" t="s">
        <v>129</v>
      </c>
      <c r="E7" s="16">
        <v>55</v>
      </c>
      <c r="F7" s="17">
        <v>0.3</v>
      </c>
      <c r="G7" s="10">
        <f t="shared" si="0"/>
        <v>78.571428571428569</v>
      </c>
      <c r="H7" s="18">
        <f t="shared" si="1"/>
        <v>23.571428571428569</v>
      </c>
      <c r="I7" s="1" t="s">
        <v>13</v>
      </c>
    </row>
    <row r="8" spans="1:9" x14ac:dyDescent="0.25">
      <c r="A8" s="1">
        <v>2</v>
      </c>
      <c r="B8" s="15" t="s">
        <v>130</v>
      </c>
      <c r="C8" s="1" t="s">
        <v>131</v>
      </c>
      <c r="D8" s="1" t="s">
        <v>132</v>
      </c>
      <c r="E8" s="16">
        <v>39</v>
      </c>
      <c r="F8" s="17">
        <v>0.3</v>
      </c>
      <c r="G8" s="10">
        <f t="shared" si="0"/>
        <v>55.714285714285715</v>
      </c>
      <c r="H8" s="18">
        <f t="shared" si="1"/>
        <v>16.714285714285715</v>
      </c>
      <c r="I8" s="1" t="s">
        <v>13</v>
      </c>
    </row>
    <row r="9" spans="1:9" x14ac:dyDescent="0.25">
      <c r="A9" s="1">
        <v>2</v>
      </c>
      <c r="B9" s="15" t="s">
        <v>133</v>
      </c>
      <c r="C9" s="1" t="s">
        <v>134</v>
      </c>
      <c r="D9" s="1" t="s">
        <v>135</v>
      </c>
      <c r="E9" s="16">
        <v>35</v>
      </c>
      <c r="F9" s="17">
        <v>0.3</v>
      </c>
      <c r="G9" s="10">
        <f t="shared" si="0"/>
        <v>50</v>
      </c>
      <c r="H9" s="18">
        <f t="shared" si="1"/>
        <v>15</v>
      </c>
      <c r="I9" s="1" t="s">
        <v>13</v>
      </c>
    </row>
    <row r="10" spans="1:9" x14ac:dyDescent="0.25">
      <c r="A10" s="1">
        <v>2</v>
      </c>
      <c r="B10" s="15" t="s">
        <v>136</v>
      </c>
      <c r="C10" s="1" t="s">
        <v>137</v>
      </c>
      <c r="D10" s="1" t="s">
        <v>138</v>
      </c>
      <c r="E10" s="16">
        <v>39</v>
      </c>
      <c r="F10" s="17">
        <v>0.3</v>
      </c>
      <c r="G10" s="10">
        <f t="shared" si="0"/>
        <v>55.714285714285715</v>
      </c>
      <c r="H10" s="18">
        <f t="shared" si="1"/>
        <v>16.714285714285715</v>
      </c>
      <c r="I10" s="1" t="s">
        <v>13</v>
      </c>
    </row>
    <row r="11" spans="1:9" x14ac:dyDescent="0.25">
      <c r="A11" s="1">
        <v>2</v>
      </c>
      <c r="B11" s="15">
        <v>24512522</v>
      </c>
      <c r="C11" s="1" t="s">
        <v>139</v>
      </c>
      <c r="D11" s="1" t="s">
        <v>140</v>
      </c>
      <c r="E11" s="16">
        <v>49</v>
      </c>
      <c r="F11" s="17">
        <v>0.3</v>
      </c>
      <c r="G11" s="10">
        <f t="shared" si="0"/>
        <v>70</v>
      </c>
      <c r="H11" s="18">
        <f t="shared" si="1"/>
        <v>21</v>
      </c>
      <c r="I11" s="1" t="s">
        <v>13</v>
      </c>
    </row>
    <row r="12" spans="1:9" x14ac:dyDescent="0.25">
      <c r="A12" s="1">
        <v>2</v>
      </c>
      <c r="B12" s="15">
        <v>7700273826</v>
      </c>
      <c r="C12" s="1" t="s">
        <v>141</v>
      </c>
      <c r="D12" s="1" t="s">
        <v>142</v>
      </c>
      <c r="E12" s="16">
        <v>55</v>
      </c>
      <c r="F12" s="17">
        <v>0.3</v>
      </c>
      <c r="G12" s="10">
        <f t="shared" si="0"/>
        <v>78.571428571428569</v>
      </c>
      <c r="H12" s="18">
        <f t="shared" si="1"/>
        <v>23.571428571428569</v>
      </c>
      <c r="I12" s="1" t="s">
        <v>13</v>
      </c>
    </row>
    <row r="13" spans="1:9" x14ac:dyDescent="0.25">
      <c r="B13" s="1" t="s">
        <v>143</v>
      </c>
      <c r="C13" s="1" t="s">
        <v>144</v>
      </c>
      <c r="D13" s="1" t="s">
        <v>145</v>
      </c>
      <c r="E13" s="1">
        <v>45</v>
      </c>
      <c r="F13" s="17">
        <v>0.3</v>
      </c>
      <c r="G13" s="1">
        <f t="shared" si="0"/>
        <v>64.285714285714292</v>
      </c>
      <c r="H13" s="1">
        <f t="shared" si="1"/>
        <v>19.285714285714292</v>
      </c>
    </row>
    <row r="14" spans="1:9" x14ac:dyDescent="0.25">
      <c r="F14" s="17">
        <v>0.3</v>
      </c>
      <c r="G14" s="1">
        <f t="shared" si="0"/>
        <v>0</v>
      </c>
      <c r="H14" s="1">
        <f t="shared" si="1"/>
        <v>0</v>
      </c>
    </row>
    <row r="15" spans="1:9" x14ac:dyDescent="0.25">
      <c r="F15" s="17">
        <v>0.3</v>
      </c>
      <c r="G15" s="1">
        <f t="shared" si="0"/>
        <v>0</v>
      </c>
      <c r="H15" s="1">
        <f t="shared" si="1"/>
        <v>0</v>
      </c>
    </row>
    <row r="16" spans="1:9" x14ac:dyDescent="0.25">
      <c r="F16" s="17">
        <v>0.3</v>
      </c>
      <c r="G16" s="1">
        <f t="shared" si="0"/>
        <v>0</v>
      </c>
      <c r="H16" s="1">
        <f t="shared" si="1"/>
        <v>0</v>
      </c>
    </row>
    <row r="17" spans="6:8" x14ac:dyDescent="0.25">
      <c r="F17" s="17">
        <v>0.3</v>
      </c>
      <c r="G17" s="1">
        <f t="shared" si="0"/>
        <v>0</v>
      </c>
      <c r="H17" s="1">
        <f t="shared" si="1"/>
        <v>0</v>
      </c>
    </row>
    <row r="18" spans="6:8" x14ac:dyDescent="0.25">
      <c r="F18" s="17">
        <v>0.3</v>
      </c>
      <c r="G18" s="1">
        <f t="shared" si="0"/>
        <v>0</v>
      </c>
      <c r="H18" s="1">
        <f t="shared" si="1"/>
        <v>0</v>
      </c>
    </row>
    <row r="19" spans="6:8" x14ac:dyDescent="0.25">
      <c r="F19" s="17">
        <v>0.3</v>
      </c>
      <c r="G19" s="1">
        <f t="shared" si="0"/>
        <v>0</v>
      </c>
      <c r="H19" s="1">
        <f t="shared" si="1"/>
        <v>0</v>
      </c>
    </row>
    <row r="20" spans="6:8" x14ac:dyDescent="0.25">
      <c r="F20" s="17">
        <v>0.3</v>
      </c>
      <c r="G20" s="1">
        <f t="shared" si="0"/>
        <v>0</v>
      </c>
      <c r="H20" s="1">
        <f t="shared" si="1"/>
        <v>0</v>
      </c>
    </row>
    <row r="21" spans="6:8" x14ac:dyDescent="0.25">
      <c r="F21" s="17">
        <v>0.3</v>
      </c>
      <c r="G21" s="1">
        <f t="shared" si="0"/>
        <v>0</v>
      </c>
      <c r="H21" s="1">
        <f t="shared" si="1"/>
        <v>0</v>
      </c>
    </row>
    <row r="22" spans="6:8" x14ac:dyDescent="0.25">
      <c r="F22" s="17">
        <v>0.3</v>
      </c>
      <c r="G22" s="1">
        <f t="shared" si="0"/>
        <v>0</v>
      </c>
      <c r="H22" s="1">
        <f t="shared" si="1"/>
        <v>0</v>
      </c>
    </row>
    <row r="23" spans="6:8" x14ac:dyDescent="0.25">
      <c r="F23" s="17">
        <v>0.3</v>
      </c>
      <c r="G23" s="1">
        <f t="shared" si="0"/>
        <v>0</v>
      </c>
      <c r="H23" s="1">
        <f t="shared" si="1"/>
        <v>0</v>
      </c>
    </row>
    <row r="24" spans="6:8" x14ac:dyDescent="0.25">
      <c r="F24" s="17">
        <v>0.3</v>
      </c>
      <c r="G24" s="1">
        <f t="shared" si="0"/>
        <v>0</v>
      </c>
      <c r="H24" s="1">
        <f t="shared" si="1"/>
        <v>0</v>
      </c>
    </row>
    <row r="25" spans="6:8" x14ac:dyDescent="0.25">
      <c r="G25" s="1">
        <f t="shared" si="0"/>
        <v>0</v>
      </c>
      <c r="H25" s="1">
        <f t="shared" si="1"/>
        <v>0</v>
      </c>
    </row>
    <row r="26" spans="6:8" x14ac:dyDescent="0.25">
      <c r="G26" s="1">
        <f t="shared" si="0"/>
        <v>0</v>
      </c>
      <c r="H26" s="1">
        <f t="shared" si="1"/>
        <v>0</v>
      </c>
    </row>
  </sheetData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9A95-D1C7-4518-A59B-B7B976E0F129}">
  <dimension ref="A1:K17"/>
  <sheetViews>
    <sheetView workbookViewId="0"/>
  </sheetViews>
  <sheetFormatPr baseColWidth="10" defaultRowHeight="15" x14ac:dyDescent="0.25"/>
  <cols>
    <col min="1" max="2" width="11.42578125" style="1" customWidth="1"/>
    <col min="3" max="3" width="15.85546875" style="1" customWidth="1"/>
    <col min="4" max="4" width="45.5703125" style="1" customWidth="1"/>
    <col min="5" max="5" width="16.140625" style="16" customWidth="1"/>
    <col min="6" max="6" width="11.42578125" style="12" customWidth="1"/>
    <col min="7" max="7" width="11.42578125" style="1" customWidth="1"/>
    <col min="8" max="8" width="11.42578125" style="10" customWidth="1"/>
    <col min="9" max="9" width="11.42578125" style="1" customWidth="1"/>
    <col min="10" max="10" width="12.140625" style="1" customWidth="1"/>
    <col min="11" max="11" width="13.42578125" style="1" customWidth="1"/>
    <col min="12" max="12" width="11.42578125" style="1" customWidth="1"/>
    <col min="13" max="16384" width="11.42578125" style="1"/>
  </cols>
  <sheetData>
    <row r="1" spans="1:11" customFormat="1" x14ac:dyDescent="0.25">
      <c r="A1" s="1" t="s">
        <v>146</v>
      </c>
      <c r="B1" s="15" t="s">
        <v>1</v>
      </c>
      <c r="C1" s="1" t="s">
        <v>2</v>
      </c>
      <c r="D1" s="1" t="s">
        <v>3</v>
      </c>
      <c r="E1" s="1" t="s">
        <v>147</v>
      </c>
      <c r="F1" s="13" t="s">
        <v>148</v>
      </c>
      <c r="G1" s="1" t="s">
        <v>112</v>
      </c>
      <c r="H1" s="4" t="s">
        <v>149</v>
      </c>
      <c r="I1" s="19" t="s">
        <v>150</v>
      </c>
      <c r="J1" s="4" t="s">
        <v>151</v>
      </c>
      <c r="K1" s="20" t="s">
        <v>152</v>
      </c>
    </row>
    <row r="2" spans="1:11" x14ac:dyDescent="0.25">
      <c r="C2" s="1" t="s">
        <v>153</v>
      </c>
      <c r="D2" s="1" t="s">
        <v>154</v>
      </c>
      <c r="E2" s="16">
        <v>31.4604</v>
      </c>
      <c r="F2" s="12">
        <f t="shared" ref="F2:F16" si="0">E2*1.31</f>
        <v>41.213124000000001</v>
      </c>
      <c r="G2" s="16">
        <f t="shared" ref="G2:G16" si="1">F2-E2</f>
        <v>9.7527240000000006</v>
      </c>
      <c r="H2" s="10">
        <f t="shared" ref="H2:I4" si="2">F2*4</f>
        <v>164.852496</v>
      </c>
      <c r="I2" s="21">
        <f t="shared" si="2"/>
        <v>39.010896000000002</v>
      </c>
      <c r="J2" s="4"/>
      <c r="K2" s="22"/>
    </row>
    <row r="3" spans="1:11" x14ac:dyDescent="0.25">
      <c r="C3" s="1" t="s">
        <v>155</v>
      </c>
      <c r="D3" s="1" t="s">
        <v>156</v>
      </c>
      <c r="E3" s="16">
        <v>7.1135999999999999</v>
      </c>
      <c r="F3" s="12">
        <f t="shared" si="0"/>
        <v>9.318816</v>
      </c>
      <c r="G3" s="16">
        <f t="shared" si="1"/>
        <v>2.2052160000000001</v>
      </c>
      <c r="H3" s="10">
        <f t="shared" si="2"/>
        <v>37.275264</v>
      </c>
      <c r="I3" s="21">
        <f t="shared" si="2"/>
        <v>8.8208640000000003</v>
      </c>
      <c r="J3" s="4"/>
      <c r="K3" s="22"/>
    </row>
    <row r="4" spans="1:11" x14ac:dyDescent="0.25">
      <c r="C4" s="1" t="s">
        <v>157</v>
      </c>
      <c r="D4" s="1" t="s">
        <v>158</v>
      </c>
      <c r="E4" s="16">
        <v>6.4836</v>
      </c>
      <c r="F4" s="12">
        <f t="shared" si="0"/>
        <v>8.4935159999999996</v>
      </c>
      <c r="G4" s="16">
        <f t="shared" si="1"/>
        <v>2.0099159999999996</v>
      </c>
      <c r="H4" s="10">
        <f t="shared" si="2"/>
        <v>33.974063999999998</v>
      </c>
      <c r="I4" s="21">
        <f t="shared" si="2"/>
        <v>8.0396639999999984</v>
      </c>
      <c r="J4" s="4"/>
      <c r="K4" s="22"/>
    </row>
    <row r="5" spans="1:11" x14ac:dyDescent="0.25">
      <c r="C5" s="1" t="s">
        <v>159</v>
      </c>
      <c r="D5" s="1" t="s">
        <v>63</v>
      </c>
      <c r="E5" s="16">
        <v>8</v>
      </c>
      <c r="F5" s="12">
        <f t="shared" si="0"/>
        <v>10.48</v>
      </c>
      <c r="G5" s="16">
        <f t="shared" si="1"/>
        <v>2.4800000000000004</v>
      </c>
      <c r="H5" s="10">
        <v>40</v>
      </c>
      <c r="I5" s="21">
        <f t="shared" ref="I5:I11" si="3">G5*4</f>
        <v>9.9200000000000017</v>
      </c>
      <c r="J5" s="4"/>
      <c r="K5" s="22"/>
    </row>
    <row r="6" spans="1:11" x14ac:dyDescent="0.25">
      <c r="C6" s="1" t="s">
        <v>160</v>
      </c>
      <c r="D6" s="1" t="s">
        <v>161</v>
      </c>
      <c r="E6" s="16">
        <v>5.7</v>
      </c>
      <c r="F6" s="12">
        <f t="shared" si="0"/>
        <v>7.4670000000000005</v>
      </c>
      <c r="G6" s="16">
        <f t="shared" si="1"/>
        <v>1.7670000000000003</v>
      </c>
      <c r="H6" s="10">
        <f>F6*4</f>
        <v>29.868000000000002</v>
      </c>
      <c r="I6" s="21">
        <f t="shared" si="3"/>
        <v>7.0680000000000014</v>
      </c>
      <c r="J6" s="23">
        <v>60</v>
      </c>
      <c r="K6" s="24">
        <v>25</v>
      </c>
    </row>
    <row r="7" spans="1:11" x14ac:dyDescent="0.25">
      <c r="C7" s="1" t="s">
        <v>162</v>
      </c>
      <c r="D7" s="1" t="s">
        <v>163</v>
      </c>
      <c r="E7" s="16">
        <v>7.992</v>
      </c>
      <c r="F7" s="12">
        <f t="shared" si="0"/>
        <v>10.469520000000001</v>
      </c>
      <c r="G7" s="16">
        <f t="shared" si="1"/>
        <v>2.4775200000000011</v>
      </c>
      <c r="H7" s="10">
        <f>F7*4</f>
        <v>41.878080000000004</v>
      </c>
      <c r="I7" s="21">
        <f t="shared" si="3"/>
        <v>9.9100800000000042</v>
      </c>
      <c r="J7" s="4"/>
      <c r="K7" s="22"/>
    </row>
    <row r="8" spans="1:11" x14ac:dyDescent="0.25">
      <c r="C8" s="1" t="s">
        <v>164</v>
      </c>
      <c r="D8" s="1" t="s">
        <v>165</v>
      </c>
      <c r="E8" s="16">
        <v>8</v>
      </c>
      <c r="F8" s="12">
        <f t="shared" si="0"/>
        <v>10.48</v>
      </c>
      <c r="G8" s="16">
        <f t="shared" si="1"/>
        <v>2.4800000000000004</v>
      </c>
      <c r="H8" s="10">
        <f>F8*4</f>
        <v>41.92</v>
      </c>
      <c r="I8" s="21">
        <f t="shared" si="3"/>
        <v>9.9200000000000017</v>
      </c>
      <c r="J8" s="4">
        <v>95</v>
      </c>
      <c r="K8" s="22"/>
    </row>
    <row r="9" spans="1:11" x14ac:dyDescent="0.25">
      <c r="C9" s="1" t="s">
        <v>166</v>
      </c>
      <c r="F9" s="12">
        <f t="shared" si="0"/>
        <v>0</v>
      </c>
      <c r="G9" s="16">
        <f t="shared" si="1"/>
        <v>0</v>
      </c>
      <c r="H9" s="10">
        <f>F9*4</f>
        <v>0</v>
      </c>
      <c r="I9" s="21">
        <f t="shared" si="3"/>
        <v>0</v>
      </c>
      <c r="J9" s="4"/>
      <c r="K9" s="22"/>
    </row>
    <row r="10" spans="1:11" x14ac:dyDescent="0.25">
      <c r="C10" s="1" t="s">
        <v>167</v>
      </c>
      <c r="D10" s="1" t="s">
        <v>168</v>
      </c>
      <c r="E10" s="16">
        <v>25.31</v>
      </c>
      <c r="F10" s="12">
        <f t="shared" si="0"/>
        <v>33.156100000000002</v>
      </c>
      <c r="G10" s="16">
        <f t="shared" si="1"/>
        <v>7.8461000000000034</v>
      </c>
      <c r="H10" s="10">
        <f>F10*4</f>
        <v>132.62440000000001</v>
      </c>
      <c r="I10" s="21">
        <f t="shared" si="3"/>
        <v>31.384400000000014</v>
      </c>
      <c r="J10" s="4"/>
      <c r="K10" s="22"/>
    </row>
    <row r="11" spans="1:11" x14ac:dyDescent="0.25">
      <c r="F11" s="12">
        <f t="shared" si="0"/>
        <v>0</v>
      </c>
      <c r="G11" s="16">
        <f t="shared" si="1"/>
        <v>0</v>
      </c>
      <c r="I11" s="21">
        <f t="shared" si="3"/>
        <v>0</v>
      </c>
      <c r="J11" s="4"/>
      <c r="K11" s="22"/>
    </row>
    <row r="12" spans="1:11" x14ac:dyDescent="0.25">
      <c r="F12" s="12">
        <f t="shared" si="0"/>
        <v>0</v>
      </c>
      <c r="G12" s="16">
        <f t="shared" si="1"/>
        <v>0</v>
      </c>
      <c r="I12" s="25"/>
      <c r="J12" s="4"/>
      <c r="K12" s="22"/>
    </row>
    <row r="13" spans="1:11" x14ac:dyDescent="0.25">
      <c r="F13" s="12">
        <f t="shared" si="0"/>
        <v>0</v>
      </c>
      <c r="G13" s="16">
        <f t="shared" si="1"/>
        <v>0</v>
      </c>
      <c r="I13" s="25"/>
      <c r="J13" s="4"/>
      <c r="K13" s="22"/>
    </row>
    <row r="14" spans="1:11" x14ac:dyDescent="0.25">
      <c r="F14" s="12">
        <f t="shared" si="0"/>
        <v>0</v>
      </c>
      <c r="G14" s="16">
        <f t="shared" si="1"/>
        <v>0</v>
      </c>
      <c r="I14" s="25"/>
      <c r="J14" s="4"/>
      <c r="K14" s="22"/>
    </row>
    <row r="15" spans="1:11" x14ac:dyDescent="0.25">
      <c r="F15" s="12">
        <f t="shared" si="0"/>
        <v>0</v>
      </c>
      <c r="G15" s="16">
        <f t="shared" si="1"/>
        <v>0</v>
      </c>
      <c r="J15" s="26"/>
    </row>
    <row r="16" spans="1:11" x14ac:dyDescent="0.25">
      <c r="F16" s="12">
        <f t="shared" si="0"/>
        <v>0</v>
      </c>
      <c r="G16" s="16">
        <f t="shared" si="1"/>
        <v>0</v>
      </c>
    </row>
    <row r="17" spans="7:7" x14ac:dyDescent="0.25">
      <c r="G17" s="16"/>
    </row>
  </sheetData>
  <pageMargins left="0.70000000000000007" right="0.70000000000000007" top="0.75" bottom="0.75" header="0.30000000000000004" footer="0.3000000000000000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C6B8-B8F7-421F-BB3A-4E9433E009BE}">
  <dimension ref="A1:L5"/>
  <sheetViews>
    <sheetView workbookViewId="0"/>
  </sheetViews>
  <sheetFormatPr baseColWidth="10" defaultRowHeight="15" x14ac:dyDescent="0.25"/>
  <cols>
    <col min="1" max="2" width="11.42578125" customWidth="1"/>
    <col min="3" max="3" width="15.7109375" customWidth="1"/>
    <col min="4" max="4" width="57.85546875" customWidth="1"/>
    <col min="5" max="5" width="11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0.3</v>
      </c>
      <c r="G1" s="3" t="s">
        <v>5</v>
      </c>
      <c r="H1" s="4" t="s">
        <v>6</v>
      </c>
      <c r="I1" s="5">
        <v>0.2</v>
      </c>
      <c r="J1" s="3" t="s">
        <v>102</v>
      </c>
      <c r="K1" s="4" t="s">
        <v>8</v>
      </c>
      <c r="L1" s="1" t="s">
        <v>9</v>
      </c>
    </row>
    <row r="2" spans="1:12" ht="19.5" customHeight="1" x14ac:dyDescent="0.25">
      <c r="C2" t="s">
        <v>169</v>
      </c>
      <c r="D2" s="27" t="s">
        <v>170</v>
      </c>
      <c r="E2" s="28">
        <v>48.98</v>
      </c>
    </row>
    <row r="3" spans="1:12" x14ac:dyDescent="0.25">
      <c r="C3" t="s">
        <v>171</v>
      </c>
      <c r="D3" s="29" t="s">
        <v>172</v>
      </c>
      <c r="E3" s="14">
        <v>47.68</v>
      </c>
    </row>
    <row r="4" spans="1:12" x14ac:dyDescent="0.25">
      <c r="C4" t="s">
        <v>173</v>
      </c>
      <c r="D4" s="30" t="s">
        <v>174</v>
      </c>
      <c r="E4" s="14">
        <v>46.36</v>
      </c>
    </row>
    <row r="5" spans="1:12" x14ac:dyDescent="0.25">
      <c r="C5" t="s">
        <v>175</v>
      </c>
      <c r="D5" s="31" t="s">
        <v>176</v>
      </c>
      <c r="E5" s="32">
        <v>51.1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8A17E-4ABD-4158-8E28-F15ACE96D46E}">
  <dimension ref="A1:L7"/>
  <sheetViews>
    <sheetView workbookViewId="0"/>
  </sheetViews>
  <sheetFormatPr baseColWidth="10" defaultRowHeight="15" x14ac:dyDescent="0.25"/>
  <cols>
    <col min="1" max="2" width="11.42578125" customWidth="1"/>
    <col min="3" max="3" width="14.5703125" customWidth="1"/>
    <col min="4" max="4" width="88" customWidth="1"/>
    <col min="5" max="8" width="11.42578125" customWidth="1"/>
    <col min="9" max="9" width="10.140625" customWidth="1"/>
    <col min="10" max="10" width="11.42578125" customWidth="1"/>
    <col min="11" max="11" width="12.140625" customWidth="1"/>
    <col min="12" max="12" width="11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0.3</v>
      </c>
      <c r="G1" s="3" t="s">
        <v>5</v>
      </c>
      <c r="H1" s="4" t="s">
        <v>6</v>
      </c>
      <c r="I1" s="5">
        <v>0.2</v>
      </c>
      <c r="J1" s="3" t="s">
        <v>102</v>
      </c>
      <c r="K1" s="4" t="s">
        <v>8</v>
      </c>
      <c r="L1" s="1" t="s">
        <v>9</v>
      </c>
    </row>
    <row r="2" spans="1:12" ht="24" x14ac:dyDescent="0.25">
      <c r="C2" t="s">
        <v>177</v>
      </c>
      <c r="D2" s="33" t="s">
        <v>178</v>
      </c>
      <c r="E2" s="14">
        <v>24.32</v>
      </c>
      <c r="F2" s="34">
        <v>0.3</v>
      </c>
      <c r="G2" s="35">
        <f>E2/(1-F2)</f>
        <v>34.742857142857147</v>
      </c>
      <c r="H2" s="35">
        <f t="shared" ref="H2:H7" si="0">G2-E2</f>
        <v>10.422857142857147</v>
      </c>
    </row>
    <row r="3" spans="1:12" x14ac:dyDescent="0.25">
      <c r="C3" t="s">
        <v>179</v>
      </c>
      <c r="D3" s="36" t="s">
        <v>180</v>
      </c>
      <c r="E3" s="14">
        <v>11.78</v>
      </c>
      <c r="F3" s="34">
        <v>0.5</v>
      </c>
      <c r="G3" s="35">
        <f>E3/(1-F3)</f>
        <v>23.56</v>
      </c>
      <c r="H3" s="35">
        <f t="shared" si="0"/>
        <v>11.78</v>
      </c>
    </row>
    <row r="4" spans="1:12" x14ac:dyDescent="0.25">
      <c r="C4" t="s">
        <v>181</v>
      </c>
      <c r="D4" t="s">
        <v>182</v>
      </c>
      <c r="E4">
        <v>54.37</v>
      </c>
      <c r="F4" s="34">
        <v>0.3</v>
      </c>
      <c r="G4" s="35">
        <f>E4/(1-F4)</f>
        <v>77.671428571428578</v>
      </c>
      <c r="H4" s="35">
        <f t="shared" si="0"/>
        <v>23.30142857142858</v>
      </c>
    </row>
    <row r="5" spans="1:12" x14ac:dyDescent="0.25">
      <c r="C5" t="s">
        <v>183</v>
      </c>
      <c r="D5" t="s">
        <v>184</v>
      </c>
      <c r="E5">
        <v>40.92</v>
      </c>
      <c r="F5" s="34">
        <v>0.3</v>
      </c>
      <c r="G5" s="35">
        <f>E5/(1-F5)</f>
        <v>58.457142857142863</v>
      </c>
      <c r="H5" s="35">
        <f t="shared" si="0"/>
        <v>17.537142857142861</v>
      </c>
    </row>
    <row r="6" spans="1:12" x14ac:dyDescent="0.25">
      <c r="C6" t="s">
        <v>185</v>
      </c>
      <c r="D6" t="s">
        <v>186</v>
      </c>
      <c r="E6">
        <v>53.26</v>
      </c>
      <c r="F6" s="34">
        <v>0.3</v>
      </c>
      <c r="G6" s="35">
        <f>E6/(1-F6)</f>
        <v>76.085714285714289</v>
      </c>
      <c r="H6" s="35">
        <f t="shared" si="0"/>
        <v>22.825714285714291</v>
      </c>
    </row>
    <row r="7" spans="1:12" x14ac:dyDescent="0.25">
      <c r="F7" s="34">
        <v>0.3</v>
      </c>
      <c r="H7" s="35">
        <f t="shared" si="0"/>
        <v>0</v>
      </c>
    </row>
  </sheetData>
  <pageMargins left="0.70000000000000007" right="0.70000000000000007" top="0.75" bottom="0.75" header="0.30000000000000004" footer="0.3000000000000000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7FF36-8FB8-4FF4-B176-1A239D45D7EC}">
  <dimension ref="A1:L3"/>
  <sheetViews>
    <sheetView workbookViewId="0"/>
  </sheetViews>
  <sheetFormatPr baseColWidth="10" defaultRowHeight="15" x14ac:dyDescent="0.25"/>
  <cols>
    <col min="1" max="2" width="11.42578125" customWidth="1"/>
    <col min="3" max="3" width="15.42578125" customWidth="1"/>
    <col min="4" max="4" width="48.85546875" customWidth="1"/>
    <col min="5" max="5" width="11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0.3</v>
      </c>
      <c r="G1" s="3" t="s">
        <v>5</v>
      </c>
      <c r="H1" s="4" t="s">
        <v>6</v>
      </c>
      <c r="I1" s="5">
        <v>0.2</v>
      </c>
      <c r="J1" s="3" t="s">
        <v>102</v>
      </c>
      <c r="K1" s="4" t="s">
        <v>8</v>
      </c>
      <c r="L1" s="1" t="s">
        <v>9</v>
      </c>
    </row>
    <row r="2" spans="1:12" x14ac:dyDescent="0.25">
      <c r="C2" t="s">
        <v>187</v>
      </c>
      <c r="D2" s="37" t="s">
        <v>188</v>
      </c>
      <c r="E2" s="14">
        <v>30.77</v>
      </c>
    </row>
    <row r="3" spans="1:12" x14ac:dyDescent="0.25">
      <c r="C3" t="s">
        <v>189</v>
      </c>
      <c r="D3" t="s">
        <v>190</v>
      </c>
      <c r="E3" s="14">
        <v>53.03</v>
      </c>
    </row>
  </sheetData>
  <pageMargins left="0.70000000000000007" right="0.70000000000000007" top="0.75" bottom="0.75" header="0.30000000000000004" footer="0.3000000000000000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9436-B882-40C7-A15C-F643E8CDA694}">
  <dimension ref="A1:L2"/>
  <sheetViews>
    <sheetView workbookViewId="0"/>
  </sheetViews>
  <sheetFormatPr baseColWidth="10" defaultRowHeight="15" x14ac:dyDescent="0.25"/>
  <cols>
    <col min="1" max="2" width="11.42578125" customWidth="1"/>
    <col min="3" max="3" width="16" customWidth="1"/>
    <col min="4" max="4" width="97.140625" customWidth="1"/>
    <col min="5" max="5" width="11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0.3</v>
      </c>
      <c r="G1" s="3" t="s">
        <v>5</v>
      </c>
      <c r="H1" s="4" t="s">
        <v>6</v>
      </c>
      <c r="I1" s="5">
        <v>0.2</v>
      </c>
      <c r="J1" s="3" t="s">
        <v>102</v>
      </c>
      <c r="K1" s="4" t="s">
        <v>8</v>
      </c>
      <c r="L1" s="1" t="s">
        <v>9</v>
      </c>
    </row>
    <row r="2" spans="1:12" ht="15" customHeight="1" x14ac:dyDescent="0.25">
      <c r="C2" t="s">
        <v>191</v>
      </c>
      <c r="D2" s="38" t="s">
        <v>192</v>
      </c>
      <c r="E2" s="14">
        <v>43.39</v>
      </c>
      <c r="F2" s="14">
        <v>2</v>
      </c>
      <c r="G2">
        <v>65</v>
      </c>
    </row>
  </sheetData>
  <pageMargins left="0.70000000000000007" right="0.70000000000000007" top="0.75" bottom="0.75" header="0.30000000000000004" footer="0.3000000000000000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7AB3-0AC9-4B49-9A45-37772B7BE58D}">
  <dimension ref="A1:L2"/>
  <sheetViews>
    <sheetView workbookViewId="0"/>
  </sheetViews>
  <sheetFormatPr baseColWidth="10" defaultRowHeight="15" x14ac:dyDescent="0.25"/>
  <cols>
    <col min="1" max="2" width="11.42578125" customWidth="1"/>
    <col min="3" max="3" width="15.85546875" customWidth="1"/>
    <col min="4" max="4" width="32.140625" customWidth="1"/>
    <col min="5" max="5" width="11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0.3</v>
      </c>
      <c r="G1" s="3" t="s">
        <v>5</v>
      </c>
      <c r="H1" s="4" t="s">
        <v>6</v>
      </c>
      <c r="I1" s="5">
        <v>0.2</v>
      </c>
      <c r="J1" s="3" t="s">
        <v>102</v>
      </c>
      <c r="K1" s="4" t="s">
        <v>8</v>
      </c>
      <c r="L1" s="1" t="s">
        <v>9</v>
      </c>
    </row>
    <row r="2" spans="1:12" x14ac:dyDescent="0.25">
      <c r="C2" t="s">
        <v>193</v>
      </c>
      <c r="D2" t="s">
        <v>194</v>
      </c>
      <c r="E2">
        <v>42.14</v>
      </c>
      <c r="F2">
        <v>2</v>
      </c>
      <c r="G2">
        <v>65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BOBINAS</vt:lpstr>
      <vt:lpstr>MONARK</vt:lpstr>
      <vt:lpstr>CABLES</vt:lpstr>
      <vt:lpstr>BUJIAS</vt:lpstr>
      <vt:lpstr>CINTAS</vt:lpstr>
      <vt:lpstr>CONMUTADOR</vt:lpstr>
      <vt:lpstr>SWICH_FRENO</vt:lpstr>
      <vt:lpstr>TERMOSTATO</vt:lpstr>
      <vt:lpstr>VELOCIDAD_SENSOR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Frander Silva Rivera</cp:lastModifiedBy>
  <dcterms:created xsi:type="dcterms:W3CDTF">2025-09-03T13:54:55Z</dcterms:created>
  <dcterms:modified xsi:type="dcterms:W3CDTF">2026-05-20T20:28:54Z</dcterms:modified>
</cp:coreProperties>
</file>