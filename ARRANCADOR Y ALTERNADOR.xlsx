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istemas\SGI\"/>
    </mc:Choice>
  </mc:AlternateContent>
  <xr:revisionPtr revIDLastSave="0" documentId="13_ncr:1_{DAB97E65-CD35-4B3F-9E8F-E0050403EFED}" xr6:coauthVersionLast="47" xr6:coauthVersionMax="47" xr10:uidLastSave="{00000000-0000-0000-0000-000000000000}"/>
  <bookViews>
    <workbookView xWindow="2640" yWindow="2640" windowWidth="24330" windowHeight="11295" tabRatio="790" firstSheet="1" activeTab="1" xr2:uid="{6D2079D8-7B68-4A08-B520-59E217B79521}"/>
  </bookViews>
  <sheets>
    <sheet name="ARRANCADOR" sheetId="2" r:id="rId1"/>
    <sheet name="ALTERNADOR" sheetId="3" r:id="rId2"/>
    <sheet name="Hoja1" sheetId="12" r:id="rId3"/>
    <sheet name="SOLENOIDE" sheetId="4" r:id="rId4"/>
    <sheet name="PORTA CARBON" sheetId="5" r:id="rId5"/>
    <sheet name="REGULADOR" sheetId="6" r:id="rId6"/>
    <sheet name="TK0" sheetId="1" r:id="rId7"/>
    <sheet name="PLANETARIO" sheetId="7" r:id="rId8"/>
    <sheet name="BENDIX" sheetId="9" r:id="rId9"/>
    <sheet name="ARMADURA" sheetId="8" r:id="rId10"/>
    <sheet name="CAMPO" sheetId="13" r:id="rId11"/>
    <sheet name="POLEA" sheetId="10" r:id="rId12"/>
    <sheet name="PORTADIODO" sheetId="11" r:id="rId13"/>
  </sheets>
  <definedNames>
    <definedName name="_xlnm._FilterDatabase" localSheetId="1" hidden="1">ALTERNADOR!$A$1:$J$9</definedName>
    <definedName name="_xlnm._FilterDatabase" localSheetId="0" hidden="1">ARRANCADOR!$A$1:$N$174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3" i="2" l="1"/>
  <c r="K173" i="2" s="1"/>
  <c r="J15" i="2" l="1"/>
  <c r="K15" i="2" s="1"/>
  <c r="J11" i="2"/>
  <c r="K11" i="2" s="1"/>
  <c r="H3" i="13"/>
  <c r="H4" i="13"/>
  <c r="H5" i="13"/>
  <c r="H6" i="13"/>
  <c r="G3" i="13"/>
  <c r="G4" i="13"/>
  <c r="G5" i="13"/>
  <c r="G6" i="13"/>
  <c r="G7" i="13"/>
  <c r="H7" i="13" s="1"/>
  <c r="G2" i="13"/>
  <c r="H2" i="13" s="1"/>
  <c r="G25" i="3"/>
  <c r="H25" i="3" s="1"/>
  <c r="G21" i="3"/>
  <c r="H21" i="3" s="1"/>
  <c r="G23" i="3"/>
  <c r="H23" i="3" s="1"/>
  <c r="H3" i="9"/>
  <c r="G3" i="9"/>
  <c r="G2" i="9"/>
  <c r="J35" i="2"/>
  <c r="K35" i="2" s="1"/>
  <c r="J58" i="2"/>
  <c r="K58" i="2" s="1"/>
  <c r="J47" i="2"/>
  <c r="K47" i="2" s="1"/>
  <c r="J90" i="2"/>
  <c r="K90" i="2" s="1"/>
  <c r="J128" i="2"/>
  <c r="K128" i="2" s="1"/>
  <c r="F28" i="6"/>
  <c r="G28" i="6" s="1"/>
  <c r="F29" i="6"/>
  <c r="G29" i="6" s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G17" i="6" s="1"/>
  <c r="F18" i="6"/>
  <c r="G18" i="6" s="1"/>
  <c r="F19" i="6"/>
  <c r="F20" i="6"/>
  <c r="G20" i="6" s="1"/>
  <c r="F21" i="6"/>
  <c r="G21" i="6" s="1"/>
  <c r="F22" i="6"/>
  <c r="G22" i="6" s="1"/>
  <c r="F23" i="6"/>
  <c r="G23" i="6" s="1"/>
  <c r="F24" i="6"/>
  <c r="G24" i="6" s="1"/>
  <c r="F25" i="6"/>
  <c r="G25" i="6" s="1"/>
  <c r="F26" i="6"/>
  <c r="G26" i="6" s="1"/>
  <c r="F27" i="6"/>
  <c r="G27" i="6" s="1"/>
  <c r="F30" i="6"/>
  <c r="G30" i="6" s="1"/>
  <c r="F31" i="6"/>
  <c r="G31" i="6" s="1"/>
  <c r="F32" i="6"/>
  <c r="G32" i="6" s="1"/>
  <c r="F33" i="6"/>
  <c r="G33" i="6" s="1"/>
  <c r="F34" i="6"/>
  <c r="G34" i="6" s="1"/>
  <c r="F35" i="6"/>
  <c r="G35" i="6" s="1"/>
  <c r="F36" i="6"/>
  <c r="F37" i="6"/>
  <c r="G37" i="6" s="1"/>
  <c r="F38" i="6"/>
  <c r="G38" i="6" s="1"/>
  <c r="F39" i="6"/>
  <c r="G39" i="6" s="1"/>
  <c r="F40" i="6"/>
  <c r="G40" i="6" s="1"/>
  <c r="F41" i="6"/>
  <c r="G41" i="6" s="1"/>
  <c r="F42" i="6"/>
  <c r="G42" i="6" s="1"/>
  <c r="F43" i="6"/>
  <c r="G43" i="6" s="1"/>
  <c r="F44" i="6"/>
  <c r="G19" i="6"/>
  <c r="G36" i="6"/>
  <c r="F37" i="5"/>
  <c r="G37" i="5" s="1"/>
  <c r="F38" i="5"/>
  <c r="G38" i="5" s="1"/>
  <c r="F39" i="5"/>
  <c r="G39" i="5" s="1"/>
  <c r="F40" i="5"/>
  <c r="G40" i="5" s="1"/>
  <c r="F41" i="5"/>
  <c r="G41" i="5" s="1"/>
  <c r="F42" i="5"/>
  <c r="G42" i="5" s="1"/>
  <c r="F43" i="5"/>
  <c r="G43" i="5" s="1"/>
  <c r="F44" i="5"/>
  <c r="G44" i="5" s="1"/>
  <c r="F45" i="5"/>
  <c r="G45" i="5" s="1"/>
  <c r="I46" i="8"/>
  <c r="J46" i="8"/>
  <c r="I45" i="8"/>
  <c r="J45" i="8" s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J26" i="8" s="1"/>
  <c r="I27" i="8"/>
  <c r="J27" i="8" s="1"/>
  <c r="I28" i="8"/>
  <c r="J28" i="8" s="1"/>
  <c r="I29" i="8"/>
  <c r="J29" i="8" s="1"/>
  <c r="I30" i="8"/>
  <c r="J30" i="8" s="1"/>
  <c r="I31" i="8"/>
  <c r="J31" i="8" s="1"/>
  <c r="I32" i="8"/>
  <c r="J32" i="8" s="1"/>
  <c r="I33" i="8"/>
  <c r="J33" i="8" s="1"/>
  <c r="I34" i="8"/>
  <c r="J34" i="8" s="1"/>
  <c r="I35" i="8"/>
  <c r="J35" i="8" s="1"/>
  <c r="I36" i="8"/>
  <c r="J36" i="8" s="1"/>
  <c r="I37" i="8"/>
  <c r="J37" i="8" s="1"/>
  <c r="I38" i="8"/>
  <c r="J38" i="8" s="1"/>
  <c r="I39" i="8"/>
  <c r="J39" i="8" s="1"/>
  <c r="I40" i="8"/>
  <c r="J40" i="8" s="1"/>
  <c r="I41" i="8"/>
  <c r="J41" i="8" s="1"/>
  <c r="I42" i="8"/>
  <c r="J42" i="8" s="1"/>
  <c r="I43" i="8"/>
  <c r="J43" i="8" s="1"/>
  <c r="I44" i="8"/>
  <c r="J44" i="8" s="1"/>
  <c r="I2" i="8"/>
  <c r="G7" i="10" l="1"/>
  <c r="F5" i="10"/>
  <c r="G5" i="10" s="1"/>
  <c r="F6" i="10"/>
  <c r="G6" i="10" s="1"/>
  <c r="F7" i="10"/>
  <c r="F8" i="10"/>
  <c r="G8" i="10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J145" i="2"/>
  <c r="K145" i="2" s="1"/>
  <c r="J139" i="2"/>
  <c r="K139" i="2" s="1"/>
  <c r="G17" i="4"/>
  <c r="H17" i="4" s="1"/>
  <c r="H49" i="4"/>
  <c r="G49" i="4"/>
  <c r="G69" i="3"/>
  <c r="H69" i="3" s="1"/>
  <c r="G70" i="3"/>
  <c r="H70" i="3" s="1"/>
  <c r="G19" i="7"/>
  <c r="H19" i="7" s="1"/>
  <c r="H21" i="7"/>
  <c r="G21" i="7"/>
  <c r="J172" i="2"/>
  <c r="K172" i="2" s="1"/>
  <c r="J171" i="2"/>
  <c r="K171" i="2" s="1"/>
  <c r="G51" i="12"/>
  <c r="H67" i="4"/>
  <c r="G67" i="4"/>
  <c r="J5" i="2"/>
  <c r="K5" i="2" s="1"/>
  <c r="G49" i="12"/>
  <c r="H49" i="12" s="1"/>
  <c r="G47" i="12"/>
  <c r="H47" i="12" s="1"/>
  <c r="H45" i="12"/>
  <c r="I45" i="12" s="1"/>
  <c r="H44" i="12"/>
  <c r="I44" i="12" s="1"/>
  <c r="H42" i="12"/>
  <c r="G39" i="12"/>
  <c r="H39" i="12" s="1"/>
  <c r="G76" i="3"/>
  <c r="H76" i="3" s="1"/>
  <c r="G38" i="12"/>
  <c r="H38" i="12" s="1"/>
  <c r="H37" i="12"/>
  <c r="I37" i="12" s="1"/>
  <c r="G97" i="3"/>
  <c r="H97" i="3" s="1"/>
  <c r="G98" i="3"/>
  <c r="H98" i="3" s="1"/>
  <c r="J21" i="8"/>
  <c r="J22" i="8"/>
  <c r="J23" i="8"/>
  <c r="J24" i="8"/>
  <c r="J25" i="8"/>
  <c r="J109" i="2"/>
  <c r="K109" i="2" s="1"/>
  <c r="J108" i="2"/>
  <c r="K108" i="2" s="1"/>
  <c r="J77" i="2"/>
  <c r="K77" i="2" s="1"/>
  <c r="J129" i="2"/>
  <c r="K129" i="2" s="1"/>
  <c r="G47" i="3"/>
  <c r="H47" i="3" s="1"/>
  <c r="G32" i="3"/>
  <c r="H32" i="3" s="1"/>
  <c r="G30" i="3"/>
  <c r="H30" i="3" s="1"/>
  <c r="J45" i="2"/>
  <c r="K45" i="2" s="1"/>
  <c r="J46" i="2"/>
  <c r="K46" i="2" s="1"/>
  <c r="G96" i="3"/>
  <c r="H96" i="3" s="1"/>
  <c r="G83" i="4"/>
  <c r="H83" i="4" s="1"/>
  <c r="G82" i="4"/>
  <c r="H82" i="4" s="1"/>
  <c r="G81" i="4"/>
  <c r="H81" i="4" s="1"/>
  <c r="G80" i="4"/>
  <c r="H80" i="4" s="1"/>
  <c r="G79" i="4"/>
  <c r="H79" i="4"/>
  <c r="H77" i="4"/>
  <c r="G77" i="4"/>
  <c r="G78" i="4"/>
  <c r="H78" i="4" s="1"/>
  <c r="G76" i="4"/>
  <c r="H76" i="4" s="1"/>
  <c r="G75" i="4"/>
  <c r="H75" i="4" s="1"/>
  <c r="G74" i="4"/>
  <c r="H74" i="4" s="1"/>
  <c r="G73" i="4"/>
  <c r="H73" i="4" s="1"/>
  <c r="J164" i="2"/>
  <c r="K164" i="2" s="1"/>
  <c r="J165" i="2"/>
  <c r="K165" i="2" s="1"/>
  <c r="J166" i="2"/>
  <c r="K166" i="2" s="1"/>
  <c r="J167" i="2"/>
  <c r="K167" i="2" s="1"/>
  <c r="J168" i="2"/>
  <c r="K168" i="2" s="1"/>
  <c r="J169" i="2"/>
  <c r="K169" i="2" s="1"/>
  <c r="J170" i="2"/>
  <c r="K170" i="2" s="1"/>
  <c r="G27" i="12"/>
  <c r="H27" i="12" s="1"/>
  <c r="G26" i="12"/>
  <c r="H26" i="12" s="1"/>
  <c r="G25" i="12"/>
  <c r="H25" i="12" s="1"/>
  <c r="G36" i="5"/>
  <c r="F36" i="5"/>
  <c r="J111" i="2"/>
  <c r="K111" i="2" s="1"/>
  <c r="J110" i="2"/>
  <c r="K110" i="2" s="1"/>
  <c r="J107" i="2"/>
  <c r="K107" i="2" s="1"/>
  <c r="J106" i="2"/>
  <c r="K106" i="2" s="1"/>
  <c r="J86" i="2"/>
  <c r="K86" i="2" s="1"/>
  <c r="G69" i="4"/>
  <c r="H69" i="4" s="1"/>
  <c r="G70" i="4"/>
  <c r="H70" i="4" s="1"/>
  <c r="G71" i="4"/>
  <c r="H71" i="4" s="1"/>
  <c r="G72" i="4"/>
  <c r="H72" i="4" s="1"/>
  <c r="J22" i="12"/>
  <c r="K22" i="12" s="1"/>
  <c r="F22" i="12"/>
  <c r="G22" i="12" s="1"/>
  <c r="J21" i="12"/>
  <c r="K21" i="12" s="1"/>
  <c r="G21" i="12"/>
  <c r="G19" i="12"/>
  <c r="H19" i="12" s="1"/>
  <c r="H17" i="12"/>
  <c r="I17" i="12" s="1"/>
  <c r="J65" i="2"/>
  <c r="K65" i="2" s="1"/>
  <c r="J42" i="2"/>
  <c r="K42" i="2" s="1"/>
  <c r="J27" i="2"/>
  <c r="K27" i="2" s="1"/>
  <c r="J44" i="2"/>
  <c r="K44" i="2" s="1"/>
  <c r="J30" i="2"/>
  <c r="K30" i="2" s="1"/>
  <c r="J17" i="2"/>
  <c r="K17" i="2" s="1"/>
  <c r="J18" i="2"/>
  <c r="K18" i="2" s="1"/>
  <c r="G13" i="3"/>
  <c r="H13" i="3" s="1"/>
  <c r="G5" i="3"/>
  <c r="H5" i="3" s="1"/>
  <c r="G24" i="3"/>
  <c r="H24" i="3" s="1"/>
  <c r="G22" i="3"/>
  <c r="H22" i="3" s="1"/>
  <c r="J163" i="2"/>
  <c r="K163" i="2" s="1"/>
  <c r="G95" i="3"/>
  <c r="H95" i="3" s="1"/>
  <c r="G33" i="4"/>
  <c r="H33" i="4" s="1"/>
  <c r="G6" i="3"/>
  <c r="H6" i="3" s="1"/>
  <c r="G66" i="4"/>
  <c r="H66" i="4" s="1"/>
  <c r="G15" i="6"/>
  <c r="G94" i="3"/>
  <c r="H94" i="3" s="1"/>
  <c r="J21" i="2"/>
  <c r="K21" i="2" s="1"/>
  <c r="J22" i="2"/>
  <c r="K22" i="2" s="1"/>
  <c r="J23" i="2"/>
  <c r="K23" i="2" s="1"/>
  <c r="J24" i="2"/>
  <c r="K24" i="2" s="1"/>
  <c r="J3" i="2"/>
  <c r="K3" i="2" s="1"/>
  <c r="J12" i="2"/>
  <c r="K12" i="2" s="1"/>
  <c r="J26" i="2"/>
  <c r="K26" i="2" s="1"/>
  <c r="J25" i="2"/>
  <c r="K25" i="2" s="1"/>
  <c r="J28" i="2"/>
  <c r="K28" i="2" s="1"/>
  <c r="J14" i="2"/>
  <c r="K14" i="2" s="1"/>
  <c r="J43" i="2"/>
  <c r="K43" i="2" s="1"/>
  <c r="J16" i="2"/>
  <c r="K16" i="2" s="1"/>
  <c r="J19" i="2"/>
  <c r="K19" i="2" s="1"/>
  <c r="G63" i="4"/>
  <c r="H63" i="4" s="1"/>
  <c r="G64" i="4"/>
  <c r="H64" i="4" s="1"/>
  <c r="G65" i="4"/>
  <c r="H65" i="4" s="1"/>
  <c r="G62" i="4"/>
  <c r="H62" i="4" s="1"/>
  <c r="G6" i="9"/>
  <c r="F178" i="1"/>
  <c r="G178" i="1" s="1"/>
  <c r="J178" i="1"/>
  <c r="K178" i="1" s="1"/>
  <c r="G41" i="3"/>
  <c r="H41" i="3" s="1"/>
  <c r="G28" i="3"/>
  <c r="H28" i="3" s="1"/>
  <c r="G18" i="3"/>
  <c r="H18" i="3" s="1"/>
  <c r="G14" i="3"/>
  <c r="H14" i="3" s="1"/>
  <c r="G59" i="3"/>
  <c r="H59" i="3" s="1"/>
  <c r="G60" i="3"/>
  <c r="H60" i="3" s="1"/>
  <c r="G61" i="3"/>
  <c r="H61" i="3" s="1"/>
  <c r="G17" i="3"/>
  <c r="H17" i="3" s="1"/>
  <c r="G16" i="3"/>
  <c r="H16" i="3" s="1"/>
  <c r="G15" i="3"/>
  <c r="H15" i="3" s="1"/>
  <c r="G19" i="3"/>
  <c r="H19" i="3" s="1"/>
  <c r="G12" i="3"/>
  <c r="H12" i="3" s="1"/>
  <c r="G11" i="3"/>
  <c r="H11" i="3" s="1"/>
  <c r="G9" i="3"/>
  <c r="H9" i="3" s="1"/>
  <c r="G8" i="3"/>
  <c r="H8" i="3" s="1"/>
  <c r="G4" i="3"/>
  <c r="H4" i="3" s="1"/>
  <c r="G3" i="3"/>
  <c r="H3" i="3" s="1"/>
  <c r="G2" i="3"/>
  <c r="H2" i="3" s="1"/>
  <c r="G7" i="3"/>
  <c r="H7" i="3" s="1"/>
  <c r="J134" i="2"/>
  <c r="K134" i="2" s="1"/>
  <c r="J102" i="2"/>
  <c r="K102" i="2" s="1"/>
  <c r="J79" i="2"/>
  <c r="K79" i="2" s="1"/>
  <c r="J51" i="2"/>
  <c r="K51" i="2" s="1"/>
  <c r="J9" i="2"/>
  <c r="K9" i="2" s="1"/>
  <c r="J7" i="2"/>
  <c r="K7" i="2" s="1"/>
  <c r="H25" i="9"/>
  <c r="H2" i="9"/>
  <c r="G56" i="3"/>
  <c r="H56" i="3" s="1"/>
  <c r="G45" i="3"/>
  <c r="H45" i="3" s="1"/>
  <c r="G46" i="3"/>
  <c r="H46" i="3" s="1"/>
  <c r="J161" i="2"/>
  <c r="K161" i="2" s="1"/>
  <c r="J162" i="2"/>
  <c r="K162" i="2" s="1"/>
  <c r="J160" i="2"/>
  <c r="K160" i="2" s="1"/>
  <c r="G54" i="4"/>
  <c r="H54" i="4" s="1"/>
  <c r="G55" i="4"/>
  <c r="H55" i="4" s="1"/>
  <c r="G56" i="4"/>
  <c r="H56" i="4" s="1"/>
  <c r="G57" i="4"/>
  <c r="H57" i="4" s="1"/>
  <c r="G58" i="4"/>
  <c r="H58" i="4" s="1"/>
  <c r="G59" i="4"/>
  <c r="H59" i="4" s="1"/>
  <c r="G60" i="4"/>
  <c r="H60" i="4" s="1"/>
  <c r="G61" i="4"/>
  <c r="H61" i="4" s="1"/>
  <c r="G27" i="4"/>
  <c r="H27" i="4" s="1"/>
  <c r="F4" i="10"/>
  <c r="G4" i="10" s="1"/>
  <c r="G3" i="10"/>
  <c r="F3" i="10"/>
  <c r="F2" i="10"/>
  <c r="G2" i="10" s="1"/>
  <c r="G5" i="9"/>
  <c r="H5" i="9" s="1"/>
  <c r="G7" i="9"/>
  <c r="H7" i="9" s="1"/>
  <c r="G8" i="9"/>
  <c r="H8" i="9" s="1"/>
  <c r="G9" i="9"/>
  <c r="H9" i="9" s="1"/>
  <c r="G10" i="9"/>
  <c r="H10" i="9" s="1"/>
  <c r="G11" i="9"/>
  <c r="H11" i="9" s="1"/>
  <c r="H12" i="9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4" i="9"/>
  <c r="H4" i="9" s="1"/>
  <c r="J2" i="2"/>
  <c r="K2" i="2" s="1"/>
  <c r="J4" i="2"/>
  <c r="K4" i="2" s="1"/>
  <c r="J6" i="2"/>
  <c r="K6" i="2" s="1"/>
  <c r="J8" i="2"/>
  <c r="K8" i="2" s="1"/>
  <c r="J10" i="2"/>
  <c r="K10" i="2" s="1"/>
  <c r="J13" i="2"/>
  <c r="K13" i="2" s="1"/>
  <c r="J20" i="2"/>
  <c r="K20" i="2" s="1"/>
  <c r="J29" i="2"/>
  <c r="K29" i="2" s="1"/>
  <c r="J31" i="2"/>
  <c r="K31" i="2" s="1"/>
  <c r="J32" i="2"/>
  <c r="K32" i="2" s="1"/>
  <c r="J33" i="2"/>
  <c r="K33" i="2" s="1"/>
  <c r="J34" i="2"/>
  <c r="K34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8" i="2"/>
  <c r="K48" i="2" s="1"/>
  <c r="J49" i="2"/>
  <c r="K49" i="2" s="1"/>
  <c r="J50" i="2"/>
  <c r="K50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8" i="2"/>
  <c r="K78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7" i="2"/>
  <c r="K87" i="2" s="1"/>
  <c r="J88" i="2"/>
  <c r="K88" i="2" s="1"/>
  <c r="J89" i="2"/>
  <c r="K89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3" i="2"/>
  <c r="K103" i="2" s="1"/>
  <c r="J104" i="2"/>
  <c r="K104" i="2" s="1"/>
  <c r="J105" i="2"/>
  <c r="K105" i="2" s="1"/>
  <c r="J112" i="2"/>
  <c r="K112" i="2" s="1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30" i="2"/>
  <c r="K130" i="2" s="1"/>
  <c r="J131" i="2"/>
  <c r="K131" i="2" s="1"/>
  <c r="J132" i="2"/>
  <c r="K132" i="2" s="1"/>
  <c r="J133" i="2"/>
  <c r="K133" i="2" s="1"/>
  <c r="J135" i="2"/>
  <c r="K135" i="2" s="1"/>
  <c r="J136" i="2"/>
  <c r="K136" i="2" s="1"/>
  <c r="J137" i="2"/>
  <c r="K137" i="2" s="1"/>
  <c r="J138" i="2"/>
  <c r="K138" i="2" s="1"/>
  <c r="J140" i="2"/>
  <c r="K140" i="2" s="1"/>
  <c r="J141" i="2"/>
  <c r="K141" i="2" s="1"/>
  <c r="J142" i="2"/>
  <c r="K142" i="2" s="1"/>
  <c r="J143" i="2"/>
  <c r="K143" i="2" s="1"/>
  <c r="J144" i="2"/>
  <c r="K144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G53" i="4"/>
  <c r="H53" i="4" s="1"/>
  <c r="G52" i="4"/>
  <c r="H52" i="4" s="1"/>
  <c r="G51" i="4"/>
  <c r="H51" i="4" s="1"/>
  <c r="G50" i="4"/>
  <c r="H50" i="4" s="1"/>
  <c r="G48" i="4"/>
  <c r="H48" i="4" s="1"/>
  <c r="G47" i="4"/>
  <c r="H47" i="4" s="1"/>
  <c r="G46" i="4"/>
  <c r="H46" i="4" s="1"/>
  <c r="G45" i="4"/>
  <c r="H45" i="4" s="1"/>
  <c r="G44" i="4"/>
  <c r="H44" i="4" s="1"/>
  <c r="G43" i="4"/>
  <c r="H43" i="4" s="1"/>
  <c r="G42" i="4"/>
  <c r="H42" i="4" s="1"/>
  <c r="G41" i="4"/>
  <c r="H41" i="4" s="1"/>
  <c r="G40" i="4"/>
  <c r="H40" i="4" s="1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G32" i="4"/>
  <c r="H32" i="4" s="1"/>
  <c r="G31" i="4"/>
  <c r="H31" i="4" s="1"/>
  <c r="G30" i="4"/>
  <c r="H30" i="4" s="1"/>
  <c r="G29" i="4"/>
  <c r="H29" i="4" s="1"/>
  <c r="G28" i="4"/>
  <c r="H28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H3" i="4" s="1"/>
  <c r="G2" i="4"/>
  <c r="H2" i="4" s="1"/>
  <c r="G20" i="7"/>
  <c r="H20" i="7" s="1"/>
  <c r="G18" i="7"/>
  <c r="H18" i="7" s="1"/>
  <c r="F35" i="5"/>
  <c r="G35" i="5" s="1"/>
  <c r="G91" i="3"/>
  <c r="H91" i="3" s="1"/>
  <c r="G92" i="3"/>
  <c r="H92" i="3" s="1"/>
  <c r="G93" i="3"/>
  <c r="H93" i="3" s="1"/>
  <c r="J2" i="8"/>
  <c r="J14" i="8"/>
  <c r="J20" i="8"/>
  <c r="J19" i="8"/>
  <c r="J18" i="8"/>
  <c r="J17" i="8"/>
  <c r="J16" i="8"/>
  <c r="J15" i="8"/>
  <c r="J13" i="8"/>
  <c r="J12" i="8"/>
  <c r="J11" i="8"/>
  <c r="J10" i="8"/>
  <c r="J9" i="8"/>
  <c r="J8" i="8"/>
  <c r="J7" i="8"/>
  <c r="J6" i="8"/>
  <c r="J5" i="8"/>
  <c r="J4" i="8"/>
  <c r="J3" i="8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G5" i="7"/>
  <c r="H5" i="7" s="1"/>
  <c r="G4" i="7"/>
  <c r="H4" i="7" s="1"/>
  <c r="G3" i="7"/>
  <c r="H3" i="7" s="1"/>
  <c r="G2" i="7"/>
  <c r="H2" i="7" s="1"/>
  <c r="G16" i="6"/>
  <c r="G14" i="6"/>
  <c r="G13" i="6"/>
  <c r="G12" i="6"/>
  <c r="G11" i="6"/>
  <c r="G10" i="6"/>
  <c r="G9" i="6"/>
  <c r="G8" i="6"/>
  <c r="G7" i="6"/>
  <c r="G6" i="6"/>
  <c r="G5" i="6"/>
  <c r="G4" i="6"/>
  <c r="G3" i="6"/>
  <c r="F2" i="6"/>
  <c r="G2" i="6" s="1"/>
  <c r="F34" i="5"/>
  <c r="G34" i="5" s="1"/>
  <c r="F33" i="5"/>
  <c r="G33" i="5" s="1"/>
  <c r="F32" i="5"/>
  <c r="G32" i="5" s="1"/>
  <c r="F31" i="5"/>
  <c r="G31" i="5" s="1"/>
  <c r="F30" i="5"/>
  <c r="G30" i="5" s="1"/>
  <c r="F27" i="5"/>
  <c r="G27" i="5" s="1"/>
  <c r="F28" i="5"/>
  <c r="G28" i="5" s="1"/>
  <c r="F25" i="5"/>
  <c r="G25" i="5" s="1"/>
  <c r="F22" i="5"/>
  <c r="G22" i="5" s="1"/>
  <c r="F29" i="5"/>
  <c r="G29" i="5" s="1"/>
  <c r="F21" i="5"/>
  <c r="G21" i="5" s="1"/>
  <c r="F13" i="5"/>
  <c r="G13" i="5" s="1"/>
  <c r="F10" i="5"/>
  <c r="G10" i="5" s="1"/>
  <c r="F7" i="5"/>
  <c r="G7" i="5" s="1"/>
  <c r="F17" i="5"/>
  <c r="G17" i="5" s="1"/>
  <c r="F16" i="5"/>
  <c r="G16" i="5" s="1"/>
  <c r="F5" i="5"/>
  <c r="G5" i="5" s="1"/>
  <c r="F23" i="5"/>
  <c r="G23" i="5" s="1"/>
  <c r="F24" i="5"/>
  <c r="G24" i="5" s="1"/>
  <c r="F26" i="5"/>
  <c r="G26" i="5" s="1"/>
  <c r="F18" i="5"/>
  <c r="G18" i="5" s="1"/>
  <c r="F19" i="5"/>
  <c r="G19" i="5" s="1"/>
  <c r="F20" i="5"/>
  <c r="G20" i="5" s="1"/>
  <c r="F14" i="5"/>
  <c r="G14" i="5" s="1"/>
  <c r="F15" i="5"/>
  <c r="G15" i="5" s="1"/>
  <c r="F12" i="5"/>
  <c r="G12" i="5" s="1"/>
  <c r="F11" i="5"/>
  <c r="G11" i="5" s="1"/>
  <c r="F9" i="5"/>
  <c r="G9" i="5" s="1"/>
  <c r="F8" i="5"/>
  <c r="G8" i="5" s="1"/>
  <c r="F6" i="5"/>
  <c r="G6" i="5" s="1"/>
  <c r="F4" i="5"/>
  <c r="G4" i="5" s="1"/>
  <c r="F2" i="5"/>
  <c r="G2" i="5" s="1"/>
  <c r="F3" i="5"/>
  <c r="G3" i="5" s="1"/>
  <c r="J43" i="1"/>
  <c r="K43" i="1" s="1"/>
  <c r="F43" i="1"/>
  <c r="G43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G21" i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G44" i="1"/>
  <c r="G45" i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G149" i="1"/>
  <c r="F150" i="1"/>
  <c r="G150" i="1" s="1"/>
  <c r="F151" i="1"/>
  <c r="G151" i="1" s="1"/>
  <c r="F152" i="1"/>
  <c r="G152" i="1" s="1"/>
  <c r="F153" i="1"/>
  <c r="G153" i="1" s="1"/>
  <c r="F154" i="1"/>
  <c r="G154" i="1" s="1"/>
  <c r="G155" i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G179" i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J2" i="1"/>
  <c r="K2" i="1" s="1"/>
  <c r="F2" i="1"/>
  <c r="G2" i="1" s="1"/>
  <c r="G38" i="3"/>
  <c r="H38" i="3" s="1"/>
  <c r="G39" i="3"/>
  <c r="H39" i="3" s="1"/>
  <c r="G27" i="3"/>
  <c r="H27" i="3" s="1"/>
  <c r="G26" i="3"/>
  <c r="H26" i="3" s="1"/>
  <c r="G20" i="3"/>
  <c r="H20" i="3" s="1"/>
  <c r="G57" i="3"/>
  <c r="H57" i="3" s="1"/>
  <c r="G31" i="3"/>
  <c r="H31" i="3" s="1"/>
  <c r="G33" i="3"/>
  <c r="H33" i="3" s="1"/>
  <c r="G35" i="3"/>
  <c r="H35" i="3" s="1"/>
  <c r="G36" i="3"/>
  <c r="H36" i="3" s="1"/>
  <c r="G37" i="3"/>
  <c r="H37" i="3" s="1"/>
  <c r="G40" i="3"/>
  <c r="H40" i="3" s="1"/>
  <c r="G43" i="3"/>
  <c r="H43" i="3" s="1"/>
  <c r="G44" i="3"/>
  <c r="H44" i="3" s="1"/>
  <c r="G51" i="3"/>
  <c r="H51" i="3" s="1"/>
  <c r="G49" i="3"/>
  <c r="H49" i="3" s="1"/>
  <c r="G48" i="3"/>
  <c r="H48" i="3" s="1"/>
  <c r="G34" i="3"/>
  <c r="H34" i="3" s="1"/>
  <c r="G58" i="3"/>
  <c r="H58" i="3" s="1"/>
  <c r="G79" i="3"/>
  <c r="H79" i="3" s="1"/>
  <c r="G82" i="3"/>
  <c r="H82" i="3" s="1"/>
  <c r="G78" i="3"/>
  <c r="H78" i="3" s="1"/>
  <c r="G85" i="3"/>
  <c r="H85" i="3" s="1"/>
  <c r="G90" i="3"/>
  <c r="H90" i="3" s="1"/>
  <c r="G74" i="3"/>
  <c r="H74" i="3" s="1"/>
  <c r="G81" i="3"/>
  <c r="H81" i="3" s="1"/>
  <c r="G77" i="3"/>
  <c r="H77" i="3" s="1"/>
  <c r="G80" i="3"/>
  <c r="H80" i="3" s="1"/>
  <c r="G63" i="3"/>
  <c r="H63" i="3" s="1"/>
  <c r="G65" i="3"/>
  <c r="H65" i="3" s="1"/>
  <c r="G84" i="3"/>
  <c r="H84" i="3" s="1"/>
  <c r="G88" i="3"/>
  <c r="H88" i="3" s="1"/>
  <c r="G87" i="3"/>
  <c r="H87" i="3" s="1"/>
  <c r="G62" i="3"/>
  <c r="H62" i="3" s="1"/>
  <c r="G68" i="3"/>
  <c r="H68" i="3" s="1"/>
  <c r="G73" i="3"/>
  <c r="H73" i="3" s="1"/>
  <c r="G83" i="3"/>
  <c r="H83" i="3" s="1"/>
  <c r="G67" i="3"/>
  <c r="H67" i="3" s="1"/>
  <c r="G75" i="3"/>
  <c r="H75" i="3" s="1"/>
  <c r="G86" i="3"/>
  <c r="H86" i="3" s="1"/>
  <c r="G89" i="3"/>
  <c r="H89" i="3" s="1"/>
  <c r="G72" i="3"/>
  <c r="H72" i="3" s="1"/>
  <c r="G71" i="3"/>
  <c r="H71" i="3" s="1"/>
  <c r="G64" i="3"/>
  <c r="H64" i="3" s="1"/>
  <c r="G66" i="3"/>
  <c r="H66" i="3" s="1"/>
  <c r="G53" i="3"/>
  <c r="H53" i="3" s="1"/>
  <c r="G29" i="3"/>
  <c r="H29" i="3" s="1"/>
  <c r="G52" i="3"/>
  <c r="H52" i="3" s="1"/>
  <c r="G54" i="3"/>
  <c r="H54" i="3" s="1"/>
  <c r="G55" i="3"/>
  <c r="H55" i="3" s="1"/>
  <c r="G42" i="3"/>
  <c r="H42" i="3" s="1"/>
  <c r="G50" i="3"/>
  <c r="H50" i="3" s="1"/>
</calcChain>
</file>

<file path=xl/sharedStrings.xml><?xml version="1.0" encoding="utf-8"?>
<sst xmlns="http://schemas.openxmlformats.org/spreadsheetml/2006/main" count="2250" uniqueCount="1581">
  <si>
    <t xml:space="preserve">​TK0-010  </t>
  </si>
  <si>
    <t xml:space="preserve">​TK0-013  </t>
  </si>
  <si>
    <t xml:space="preserve">​TK0-028  </t>
  </si>
  <si>
    <t xml:space="preserve">​TK0-062  </t>
  </si>
  <si>
    <t xml:space="preserve">​TK0-063  </t>
  </si>
  <si>
    <t xml:space="preserve">​TK0-064  </t>
  </si>
  <si>
    <t xml:space="preserve">​TK0-065  </t>
  </si>
  <si>
    <t xml:space="preserve">​TK0-059  </t>
  </si>
  <si>
    <t xml:space="preserve">​TK0-060  </t>
  </si>
  <si>
    <t xml:space="preserve">​TK0-061  </t>
  </si>
  <si>
    <t xml:space="preserve">​TK0-050  </t>
  </si>
  <si>
    <t xml:space="preserve">​TK0-055  </t>
  </si>
  <si>
    <t xml:space="preserve">​TK0-056  </t>
  </si>
  <si>
    <t xml:space="preserve">​TK0-058  </t>
  </si>
  <si>
    <t>​TK0-036</t>
  </si>
  <si>
    <t>​TK0-038</t>
  </si>
  <si>
    <t>​TK0-040</t>
  </si>
  <si>
    <t>​TK0-048</t>
  </si>
  <si>
    <t xml:space="preserve">​TK0-081  </t>
  </si>
  <si>
    <t xml:space="preserve">​TK0-082  </t>
  </si>
  <si>
    <t xml:space="preserve">​TK0-084  </t>
  </si>
  <si>
    <t xml:space="preserve">​TK0-086  </t>
  </si>
  <si>
    <t xml:space="preserve">​TK0-074  </t>
  </si>
  <si>
    <t xml:space="preserve">​TK0-078  </t>
  </si>
  <si>
    <t xml:space="preserve">​TK0-079  </t>
  </si>
  <si>
    <t xml:space="preserve">​TK0-080  </t>
  </si>
  <si>
    <t xml:space="preserve">​TK0-070  </t>
  </si>
  <si>
    <t xml:space="preserve">​TK0-071  </t>
  </si>
  <si>
    <t xml:space="preserve">​TK0-072  </t>
  </si>
  <si>
    <t xml:space="preserve">​TK0-073  </t>
  </si>
  <si>
    <t xml:space="preserve">​TK0-066  </t>
  </si>
  <si>
    <t xml:space="preserve">​TK0-068  </t>
  </si>
  <si>
    <t xml:space="preserve">​TK0-069  </t>
  </si>
  <si>
    <t xml:space="preserve">​TK0-108  </t>
  </si>
  <si>
    <t xml:space="preserve">​TK0-109  </t>
  </si>
  <si>
    <t xml:space="preserve">​TK0-110  </t>
  </si>
  <si>
    <t xml:space="preserve">​TK0-113  </t>
  </si>
  <si>
    <t>​TK0-090</t>
  </si>
  <si>
    <t>​TK0-095</t>
  </si>
  <si>
    <t>​TK0-096</t>
  </si>
  <si>
    <t>​TK0-099</t>
  </si>
  <si>
    <t>​TK0-147</t>
  </si>
  <si>
    <t>​TK0-148</t>
  </si>
  <si>
    <t>​TK0-150</t>
  </si>
  <si>
    <t>​TK0-133</t>
  </si>
  <si>
    <t>​TK0-134</t>
  </si>
  <si>
    <t>​TK0-141</t>
  </si>
  <si>
    <t>​TK0-145</t>
  </si>
  <si>
    <t>​TK0-127</t>
  </si>
  <si>
    <t>​TK0-130</t>
  </si>
  <si>
    <t>​TK0-131</t>
  </si>
  <si>
    <t>​TK0-115</t>
  </si>
  <si>
    <t>​TK0-116</t>
  </si>
  <si>
    <t>​TK0-120</t>
  </si>
  <si>
    <t>​TK0-166</t>
  </si>
  <si>
    <t>​TK0-170</t>
  </si>
  <si>
    <t>​TK0-173</t>
  </si>
  <si>
    <t>​TK0-184</t>
  </si>
  <si>
    <t>​TK0-151</t>
  </si>
  <si>
    <t>​TK0-153</t>
  </si>
  <si>
    <t>​TK0-154</t>
  </si>
  <si>
    <t>​TK0-2356</t>
  </si>
  <si>
    <t>​TK0-2357</t>
  </si>
  <si>
    <t>​TK0-216</t>
  </si>
  <si>
    <t>​TK0-217</t>
  </si>
  <si>
    <t>​TK0-198</t>
  </si>
  <si>
    <t>​TK0-250</t>
  </si>
  <si>
    <t>​TK0-292</t>
  </si>
  <si>
    <t>​TK0-293</t>
  </si>
  <si>
    <t>​TK0-277</t>
  </si>
  <si>
    <t>​TK0-274</t>
  </si>
  <si>
    <t>​TK0-275</t>
  </si>
  <si>
    <t>​TK0-299</t>
  </si>
  <si>
    <t>​TK0-311</t>
  </si>
  <si>
    <t>​TK0-D406</t>
  </si>
  <si>
    <t>​TK0-D407</t>
  </si>
  <si>
    <t>​TK0-362</t>
  </si>
  <si>
    <t>​TK0-370</t>
  </si>
  <si>
    <t>​TK0-318</t>
  </si>
  <si>
    <t>​TK0-341</t>
  </si>
  <si>
    <t>​TK0-345</t>
  </si>
  <si>
    <t>​TK0-350</t>
  </si>
  <si>
    <t>​TK0-4570</t>
  </si>
  <si>
    <t>​TK0-4581</t>
  </si>
  <si>
    <t>​TK0-510</t>
  </si>
  <si>
    <t>​TK0-470</t>
  </si>
  <si>
    <t>​TK0-477</t>
  </si>
  <si>
    <t>​TK0-445</t>
  </si>
  <si>
    <t>​TK0-441</t>
  </si>
  <si>
    <t>​TK0-437</t>
  </si>
  <si>
    <t>​TK0-442</t>
  </si>
  <si>
    <t>​TK0-648</t>
  </si>
  <si>
    <t>​TK0-650</t>
  </si>
  <si>
    <t>​TK0-H738</t>
  </si>
  <si>
    <t>​TK0-H744</t>
  </si>
  <si>
    <t>​TK0-721</t>
  </si>
  <si>
    <t>​TK0-724</t>
  </si>
  <si>
    <t>​TK0-725</t>
  </si>
  <si>
    <t>​TK0-712</t>
  </si>
  <si>
    <t>​TK0-672</t>
  </si>
  <si>
    <t>​TK0-682</t>
  </si>
  <si>
    <t>​TK0-700</t>
  </si>
  <si>
    <t>​TK0-785</t>
  </si>
  <si>
    <t>​TK0-845</t>
  </si>
  <si>
    <t>​TK0-846-C</t>
  </si>
  <si>
    <t>​TK0-847</t>
  </si>
  <si>
    <t>​TK0-847-C</t>
  </si>
  <si>
    <t>​TK0-838</t>
  </si>
  <si>
    <t>​TK0-844</t>
  </si>
  <si>
    <t>​TK0-830</t>
  </si>
  <si>
    <t>​TK0-831</t>
  </si>
  <si>
    <t>​TK0-832</t>
  </si>
  <si>
    <t>​TK0-834</t>
  </si>
  <si>
    <t>​TK0-826</t>
  </si>
  <si>
    <t>​TK0-827</t>
  </si>
  <si>
    <t>​TK0-829</t>
  </si>
  <si>
    <t>​TK0-851</t>
  </si>
  <si>
    <t>​TK0-853</t>
  </si>
  <si>
    <t>​TK0-854</t>
  </si>
  <si>
    <t>​TK0-855</t>
  </si>
  <si>
    <t>​TK0-848-SL</t>
  </si>
  <si>
    <t>​TK0-850</t>
  </si>
  <si>
    <t>​TK0-D3 AV</t>
  </si>
  <si>
    <t>​TK0-D3 OP</t>
  </si>
  <si>
    <t>​TK0-D4 RX</t>
  </si>
  <si>
    <t>DESCRIPCIÓN</t>
  </si>
  <si>
    <t>CÓDIGO</t>
  </si>
  <si>
    <t>​TK0-848-DP</t>
  </si>
  <si>
    <t>​TK0-849-DP</t>
  </si>
  <si>
    <t>MAZDA, D-P 12V</t>
  </si>
  <si>
    <t>​TK0-D2 OP</t>
  </si>
  <si>
    <t>​TK0-D908</t>
  </si>
  <si>
    <t>​TK0-D910</t>
  </si>
  <si>
    <t>​TK0-912</t>
  </si>
  <si>
    <t>​TK0-914</t>
  </si>
  <si>
    <t>​TK0-D2-KR</t>
  </si>
  <si>
    <t>TK0-D2 SN</t>
  </si>
  <si>
    <t>TK0-D2 ZE</t>
  </si>
  <si>
    <t>TK0-924</t>
  </si>
  <si>
    <t>TK0-8195</t>
  </si>
  <si>
    <t>TK0-843</t>
  </si>
  <si>
    <t>TK0-846</t>
  </si>
  <si>
    <t>TK0-H766</t>
  </si>
  <si>
    <t>TK0-H762</t>
  </si>
  <si>
    <t>TK0-H761</t>
  </si>
  <si>
    <t>TK0-H760</t>
  </si>
  <si>
    <t>TK0-777</t>
  </si>
  <si>
    <t>TK0-H774</t>
  </si>
  <si>
    <t>TK0-H768</t>
  </si>
  <si>
    <t>TK0-H767</t>
  </si>
  <si>
    <t>TK0-Y794</t>
  </si>
  <si>
    <t>​TK0-771</t>
  </si>
  <si>
    <t>TK0-824</t>
  </si>
  <si>
    <t>TK0-815</t>
  </si>
  <si>
    <t>TK0-814</t>
  </si>
  <si>
    <t>TK0-810</t>
  </si>
  <si>
    <t>​TK0-675</t>
  </si>
  <si>
    <t>TK0-676</t>
  </si>
  <si>
    <t>TK0687</t>
  </si>
  <si>
    <t>TK0 6890</t>
  </si>
  <si>
    <t>TK0-684</t>
  </si>
  <si>
    <t>​TK0-722</t>
  </si>
  <si>
    <t>TK0-734</t>
  </si>
  <si>
    <t>TK0-728</t>
  </si>
  <si>
    <t>KIA PICANTO, HYUNDAI i10 12V</t>
  </si>
  <si>
    <t>TK0-646</t>
  </si>
  <si>
    <t>TK0-643</t>
  </si>
  <si>
    <t>TK0-657</t>
  </si>
  <si>
    <t>TK0-656</t>
  </si>
  <si>
    <t>SONATA, CARENS, KIA OPTIMA 12 V</t>
  </si>
  <si>
    <t>TK0-654</t>
  </si>
  <si>
    <t>KIA OPIRUS, SORENTO 12V</t>
  </si>
  <si>
    <t>TK0-652</t>
  </si>
  <si>
    <t>TK0-662</t>
  </si>
  <si>
    <t>TK0-660</t>
  </si>
  <si>
    <t>TK0-658</t>
  </si>
  <si>
    <t>HYUNDAI SANTAFE, EF SONATA 12V</t>
  </si>
  <si>
    <t>TK0-669</t>
  </si>
  <si>
    <t>HYUNDAI ACCENT, i20, i30, KIA 12V</t>
  </si>
  <si>
    <t>TK0-665</t>
  </si>
  <si>
    <t>HYUNDAI VERNA, i30, KIA SORENTO</t>
  </si>
  <si>
    <t>TK0-664</t>
  </si>
  <si>
    <t>TK0-663</t>
  </si>
  <si>
    <t>TK0-545</t>
  </si>
  <si>
    <t>TK0-544</t>
  </si>
  <si>
    <t>TK0-M549</t>
  </si>
  <si>
    <t>TK0-M521</t>
  </si>
  <si>
    <t>TK0-555</t>
  </si>
  <si>
    <t>TK0-M552</t>
  </si>
  <si>
    <t>TK0-M551</t>
  </si>
  <si>
    <t>TK0-634</t>
  </si>
  <si>
    <t>TK0-610</t>
  </si>
  <si>
    <t>TK0-M562 B</t>
  </si>
  <si>
    <t>TK0-M562 A</t>
  </si>
  <si>
    <t>TK0-642</t>
  </si>
  <si>
    <t>​TK0-641</t>
  </si>
  <si>
    <t>​TK0-639</t>
  </si>
  <si>
    <t>​TK0-637</t>
  </si>
  <si>
    <t>​TK0-4490</t>
  </si>
  <si>
    <t>​TK0-444</t>
  </si>
  <si>
    <t>​TK0-459</t>
  </si>
  <si>
    <t>​TK0-458</t>
  </si>
  <si>
    <t>​TK0-448</t>
  </si>
  <si>
    <t>​TK0-464</t>
  </si>
  <si>
    <t>​TK0-463</t>
  </si>
  <si>
    <t>​TK0-461</t>
  </si>
  <si>
    <t>​TK0-460</t>
  </si>
  <si>
    <t>​TK0-6302</t>
  </si>
  <si>
    <t>​TK0-6335</t>
  </si>
  <si>
    <t>​TK0-6301</t>
  </si>
  <si>
    <t>​TK0-6015</t>
  </si>
  <si>
    <t>​TK0-572</t>
  </si>
  <si>
    <t>​TK0-556</t>
  </si>
  <si>
    <t>​TK0-564</t>
  </si>
  <si>
    <t>​TK0-511</t>
  </si>
  <si>
    <t>​TK0-254</t>
  </si>
  <si>
    <t>​TK0-226</t>
  </si>
  <si>
    <t>​TK0-220</t>
  </si>
  <si>
    <t>​TK0-520</t>
  </si>
  <si>
    <t>​TK0-3370</t>
  </si>
  <si>
    <t>​TK0-257</t>
  </si>
  <si>
    <t>​TK0-255</t>
  </si>
  <si>
    <t>​TK0-440</t>
  </si>
  <si>
    <t>​TK0-430</t>
  </si>
  <si>
    <t>​TK0-465</t>
  </si>
  <si>
    <t>​TK0-422</t>
  </si>
  <si>
    <t>​TK0-479</t>
  </si>
  <si>
    <t>​TK0-473</t>
  </si>
  <si>
    <t>​TK0-509</t>
  </si>
  <si>
    <t>​TK0-498</t>
  </si>
  <si>
    <t>​TK0-D4476</t>
  </si>
  <si>
    <t>​TK0-D4152</t>
  </si>
  <si>
    <t>​TK0-369</t>
  </si>
  <si>
    <t>​TK0-D401</t>
  </si>
  <si>
    <t>​TK0-382</t>
  </si>
  <si>
    <t>​TK0-381</t>
  </si>
  <si>
    <t>​TK0-D404</t>
  </si>
  <si>
    <t>​TK0-D403</t>
  </si>
  <si>
    <t>​TK0-B300</t>
  </si>
  <si>
    <t>​TK0-B295</t>
  </si>
  <si>
    <t>​TK0-265</t>
  </si>
  <si>
    <t>​TK0-2617</t>
  </si>
  <si>
    <t>​TK0-281-24</t>
  </si>
  <si>
    <t>​TK0-281-12</t>
  </si>
  <si>
    <t>​TK0-279</t>
  </si>
  <si>
    <t>​TK0-287 24</t>
  </si>
  <si>
    <t>​TK0-207 12</t>
  </si>
  <si>
    <t>​TK0-285</t>
  </si>
  <si>
    <t>​TK0-284</t>
  </si>
  <si>
    <t>​TK0-290</t>
  </si>
  <si>
    <t xml:space="preserve">​TK0-286 </t>
  </si>
  <si>
    <t>​TK0-196</t>
  </si>
  <si>
    <t>​TK0-192</t>
  </si>
  <si>
    <t>​TK0-191</t>
  </si>
  <si>
    <t>​TK0-213</t>
  </si>
  <si>
    <t>​TK0-H205</t>
  </si>
  <si>
    <t>​TK0-232</t>
  </si>
  <si>
    <t>​TK0-B231</t>
  </si>
  <si>
    <t>​TK0-B225</t>
  </si>
  <si>
    <t>​TK0-B220</t>
  </si>
  <si>
    <t>​TK0-237</t>
  </si>
  <si>
    <t>​TK0-B236</t>
  </si>
  <si>
    <t>​TK0-160</t>
  </si>
  <si>
    <t>​TK0-158-B</t>
  </si>
  <si>
    <t>​TK0-158-A</t>
  </si>
  <si>
    <t>​TK0-168</t>
  </si>
  <si>
    <t>​TK0-119</t>
  </si>
  <si>
    <t>​TK0-125</t>
  </si>
  <si>
    <t>​TK0-094-24</t>
  </si>
  <si>
    <t>​TK0-094-12</t>
  </si>
  <si>
    <t>​TK0-089</t>
  </si>
  <si>
    <t>​TK0-088</t>
  </si>
  <si>
    <t>CARROS CHINO 12V</t>
  </si>
  <si>
    <t>CARROS CHINO, GLORY 12V</t>
  </si>
  <si>
    <t>ASIAN, CHANGHE, HAFEI 2011 12V</t>
  </si>
  <si>
    <t>CHEVROLET OPTRA</t>
  </si>
  <si>
    <t>HYUNDAI i10 12 V</t>
  </si>
  <si>
    <t>HYUNDAI EON 12 V</t>
  </si>
  <si>
    <t>ACCENT, SONATA, KIA 12 V</t>
  </si>
  <si>
    <t>DONGFENG 12 V</t>
  </si>
  <si>
    <t>LIFAN, FAW 2011, CHERY 12 V</t>
  </si>
  <si>
    <t>MAZDA BT-50, FORD RANGER 12 V</t>
  </si>
  <si>
    <t>CHEVROLET N300 12 V</t>
  </si>
  <si>
    <t>JAC, WULING, CHANGAN 12 V</t>
  </si>
  <si>
    <t>SONATA, TIBURON, COUPE 12 V</t>
  </si>
  <si>
    <t>CHANGHE CHERY 12 V</t>
  </si>
  <si>
    <t>BYD 12 V</t>
  </si>
  <si>
    <t>CARROS CHINOS 12 V</t>
  </si>
  <si>
    <t>JAC 12 V</t>
  </si>
  <si>
    <t>JAC, REFINE 12 V</t>
  </si>
  <si>
    <t>CHERY, QQ 12 V</t>
  </si>
  <si>
    <t>CHERY 12 V</t>
  </si>
  <si>
    <t>CARROS CHINOS, BAIC 12 V</t>
  </si>
  <si>
    <t>GEELY, LIFAN 12 V</t>
  </si>
  <si>
    <t>GEELY 12 V</t>
  </si>
  <si>
    <t>CHEVROLET N200, N300 12 V</t>
  </si>
  <si>
    <t>CHERY, TIGGO, QQ 12 V</t>
  </si>
  <si>
    <t>CHERY, JINBEI, FAW, FOTON 12 V</t>
  </si>
  <si>
    <t>NISSAN FRONTIER 12 V</t>
  </si>
  <si>
    <t>RENAULT 12 V</t>
  </si>
  <si>
    <t>VOLKSWAGEN GOL, VOYAGE 12 V</t>
  </si>
  <si>
    <t>VOLKSWAGEN GOL 12 V</t>
  </si>
  <si>
    <t>LADA PRIORA 12 V</t>
  </si>
  <si>
    <t>HYUNDAI SANTAFE, ELANTRA, KIA 12 V</t>
  </si>
  <si>
    <t>GREAT WALL 12 V</t>
  </si>
  <si>
    <t>AUTOCRAFT AC, CHANGAN 12 V</t>
  </si>
  <si>
    <t>CHANGAN COMBI 12 V</t>
  </si>
  <si>
    <t>JINBEI, GREAT WALL, WINGLE 12 V</t>
  </si>
  <si>
    <t>KIA RIO, SEPHIA, CARENS, CARNIVAL 12 V</t>
  </si>
  <si>
    <t>CAMION 5 TONELADAS, HYUNDAI 24 V</t>
  </si>
  <si>
    <t>CARROS CHINOS ADAPTAR 12 V</t>
  </si>
  <si>
    <t>CHANGAN, 12V 12 V</t>
  </si>
  <si>
    <t>MAHINDRA, LUCAS 12 V</t>
  </si>
  <si>
    <t>DELCO, CATERPILLAR, PERKINS, MONTACARGAS 12 V</t>
  </si>
  <si>
    <t>MAQUINARIA 12 V</t>
  </si>
  <si>
    <t>KIA OPTIMA, EF SIRIUS, EF SONATA, MANDO 12 V</t>
  </si>
  <si>
    <t>AUTOS CHINOS, BYD 12 V</t>
  </si>
  <si>
    <t>SSANGYONG, GREAT WALL 12 V</t>
  </si>
  <si>
    <t>BRILLIANCE, HYUNDAI 12 V</t>
  </si>
  <si>
    <t>CHEVYTAXI UNIVERSAL PARA ADAPTAR 12 V</t>
  </si>
  <si>
    <t>MAQUINARIA ISKRA, FERGUSON 12 V</t>
  </si>
  <si>
    <t>MANDO, HYUNDAI, GRANDSUK 12 V</t>
  </si>
  <si>
    <t>DONGFENG, ZHA, RICH 12 V</t>
  </si>
  <si>
    <t>DONGFENG, FOTON, ADAPTAR CARROS CHINOS 12 V</t>
  </si>
  <si>
    <t>PEUGEOT, CITROEN 12 V</t>
  </si>
  <si>
    <t>FIAT, PALIO, MAGNETI, MARELLI 12 V</t>
  </si>
  <si>
    <t>FIAT, MAGNETI, MARELLI, PERKINS 12 V</t>
  </si>
  <si>
    <t>CATERPILLAR, DENSO, TRUCKS 24 V</t>
  </si>
  <si>
    <t>CAMION FOTON, SINOTRUK, HOWO 24 V</t>
  </si>
  <si>
    <t>CAMION FOTON, CUMMINS 24 V</t>
  </si>
  <si>
    <t>CARROS CHINOS 24 V</t>
  </si>
  <si>
    <t>CATERPILLAR, DONGFENG, CUMMINS 24 V</t>
  </si>
  <si>
    <t>CUMMINS, KOMATSU, MAQUINAS TRACTORES 24 V</t>
  </si>
  <si>
    <t>MERCEDES, VOLKSWAGEN 24 V</t>
  </si>
  <si>
    <t>CATERPILLAR, DELCO 24 V</t>
  </si>
  <si>
    <t>HOWO, SINOTRUK, FOTON 24 V</t>
  </si>
  <si>
    <t>AUTOS CHINOS, CHANGAN 12 V</t>
  </si>
  <si>
    <t>CHANGAN, ALSVIN, V3 12 V</t>
  </si>
  <si>
    <t>CUMMINS, MAQUINARIA, MARINOS 12 V</t>
  </si>
  <si>
    <t>CUMMINS, CATERPILLAR 12 V</t>
  </si>
  <si>
    <t>MITSUBISHI 12 V</t>
  </si>
  <si>
    <t>MITSUBISHI CANTER, FUSO 24 V</t>
  </si>
  <si>
    <t>HYUNDAI ACCENT, ELANTRA, EXCEL 12 V</t>
  </si>
  <si>
    <t>TOYOTA COROLLA, CORONA, HONDA CIVIC 12 V</t>
  </si>
  <si>
    <t>HONDA ACCORD, ACURA 12 V</t>
  </si>
  <si>
    <t>FORD, ESCORT, FIESTA, MITSUBISHI 12 V</t>
  </si>
  <si>
    <t>VOLVO, PEUGEOT, LAND ROVER 12 V</t>
  </si>
  <si>
    <t>TOYOTA COROLLA, AURIS 12 V</t>
  </si>
  <si>
    <t>TOYOTA TERCEL, CHARADE, CHEVROLET 12 V</t>
  </si>
  <si>
    <t>TOYOTA KOMATSU, DAIHATSU, FORKLIFT 12 V</t>
  </si>
  <si>
    <t>TOYOTA TERCEL, DENSO 12 V</t>
  </si>
  <si>
    <t>MERCEDES, SPRINTER 12 V</t>
  </si>
  <si>
    <t>FORD, MAZDA, MERCURY 12 V</t>
  </si>
  <si>
    <t>NISSAN, MITSUBISHI 12 V</t>
  </si>
  <si>
    <t>CHEVROLET, GEO, SUZUKI, MITSUBISHI 12 V</t>
  </si>
  <si>
    <t>MITSUBISHI, GALANT, MAZDA, SUBARU 12 V</t>
  </si>
  <si>
    <t>HYUNDAI PORTER, MANDO-CARNIVAL, STAREX OLD, LIBERO OLD 12 V</t>
  </si>
  <si>
    <t>MITSUBISHI, HYUNDAI 24 V</t>
  </si>
  <si>
    <t>MITSUBISHI, AMORTON, FORD 12 V</t>
  </si>
  <si>
    <t>POTENTIA 3.0, DODGE, MITSUBISHI 12 V</t>
  </si>
  <si>
    <t>MITSUBISHI, FUSO, CATERPILLAR 24 V</t>
  </si>
  <si>
    <t>MITSUBISHI 24 V</t>
  </si>
  <si>
    <t>MITSUBISHI, MAZDA 12 V</t>
  </si>
  <si>
    <t>NISSAN, INFINITI, MITSUBISHI 12 V</t>
  </si>
  <si>
    <t>MITSUBISHI, TRACTO AGRIC. INDUSTRIAL 12 V</t>
  </si>
  <si>
    <t>VOLVO, SCANIA, MERCEDES 24 V</t>
  </si>
  <si>
    <t>MAQUINARIA ISKRA 12 V</t>
  </si>
  <si>
    <t>MITSUBISHI, HONDA, ACURA 12 V</t>
  </si>
  <si>
    <t>TOYOTA PROBOX 12 V</t>
  </si>
  <si>
    <t>MITSUBISHI LANCER, L200 12 V</t>
  </si>
  <si>
    <t>MITSUBISHI, KIA, MAZDA 12 V</t>
  </si>
  <si>
    <t>SUBARU, NISSAN 12 V</t>
  </si>
  <si>
    <t>NISSAN, INFINITI 12 V</t>
  </si>
  <si>
    <t>NISSAN, MERCURY 12 V</t>
  </si>
  <si>
    <t>MAZDA 12 V</t>
  </si>
  <si>
    <t>MITSUBISHI, CHEVROLET, SUZUKI, VITARA 12 V</t>
  </si>
  <si>
    <t>MITSUBISHI, IVECO 24 V</t>
  </si>
  <si>
    <t>HYUNDAI PORTER, GRACE, GALLOPER 12 V</t>
  </si>
  <si>
    <t>HYUNDAI 2 PINES 12 V</t>
  </si>
  <si>
    <t>TOYOTA COROLLA, LEXUS 12 V</t>
  </si>
  <si>
    <t>CHANGAN, DONGFENG 12 V</t>
  </si>
  <si>
    <t>YARIS, COROLLA, PROBOX, MAZDA 12 V</t>
  </si>
  <si>
    <t>DONGFENG, DONG FENG 12 V</t>
  </si>
  <si>
    <t>CARROS CHINOS, DONG FENG, FOTON 12 V</t>
  </si>
  <si>
    <t>TOYOTA, HONDA, ACURA, ISUZU 12 V</t>
  </si>
  <si>
    <t>SUZUKI K10, CELERIO 12 V</t>
  </si>
  <si>
    <t>TOYOTA YARIS, AVANZA, VITZ 12 V</t>
  </si>
  <si>
    <t>SUZUKI K10, ALTO, ERTIGA 12 V</t>
  </si>
  <si>
    <t>HINO 24 V</t>
  </si>
  <si>
    <t>SUZUKI, VITARA, SCROSS 12 V</t>
  </si>
  <si>
    <t>HINO 500 24 V</t>
  </si>
  <si>
    <t>TOYOTA, DURTER, DIESEL 24 V</t>
  </si>
  <si>
    <t>TOYOTA, DYNA, LANDCRUISER, DIESEL 24 V</t>
  </si>
  <si>
    <t>TOYOTA, FORKLIFT, TRUCKS, MONTACARGA 24 V</t>
  </si>
  <si>
    <t>TOYOTA, HINO 300 24 V</t>
  </si>
  <si>
    <t>MAZDA, MITSUBISHI 12 V</t>
  </si>
  <si>
    <t>NISSAN TIIDA 12 V</t>
  </si>
  <si>
    <t>NISSAN NAVARA 12 V</t>
  </si>
  <si>
    <t>MITSUBISHI, PEUGEOT 12 V</t>
  </si>
  <si>
    <t>DAEWOO DAMAS 12 V</t>
  </si>
  <si>
    <t>DAEWOO TICO 12 V</t>
  </si>
  <si>
    <t>VALEO, BMW, VW, VOLVO 12 V</t>
  </si>
  <si>
    <t>TOYOTA YARIS 12 V</t>
  </si>
  <si>
    <t>MAZDA SEÑAL D-P</t>
  </si>
  <si>
    <t>NISSAN SENTRA 12 V</t>
  </si>
  <si>
    <t>FORD, RANGER, MAZDA, BT-50 12 V</t>
  </si>
  <si>
    <t>TOYOTA HILUX, 1KD, 2KD</t>
  </si>
  <si>
    <t>TOYOTA, LEXUS, HONDA</t>
  </si>
  <si>
    <t>TOYOTA RAV 4</t>
  </si>
  <si>
    <t>HONDA, ACURA</t>
  </si>
  <si>
    <t>KIA PICANTO 12 V</t>
  </si>
  <si>
    <t>CHEVROLET SAIL, GM 12 V</t>
  </si>
  <si>
    <t>CHEVROLET CAPTIVA 12 V</t>
  </si>
  <si>
    <t>BOSCH, FIAT, CHEVY 12 V</t>
  </si>
  <si>
    <t>BOSCH, VW, MERCEDES 12 V</t>
  </si>
  <si>
    <t>BOSCH, CHEVY, UNIVERSAL, FIAT 12 V</t>
  </si>
  <si>
    <t>BOSCH, TOYOTA 12 V</t>
  </si>
  <si>
    <t>MERCEDES UNIVERSAL PARA ADAPTAR 24 V</t>
  </si>
  <si>
    <t>DAEWOO CIELO, NUBIRA, LANOS</t>
  </si>
  <si>
    <t>LEGANZA</t>
  </si>
  <si>
    <t>DELCO, REMY 12V</t>
  </si>
  <si>
    <t>DELCO, REMY 24V</t>
  </si>
  <si>
    <t>NISSAN, ISUZU 12 V</t>
  </si>
  <si>
    <t>ISKRA 24 V</t>
  </si>
  <si>
    <t>CAMIONES CHINOS, HOWO 24 V</t>
  </si>
  <si>
    <t>GREAT WALL, CARROS CHINOS 12 V</t>
  </si>
  <si>
    <t>HYUNDAI SONATA, MANDO 12 V</t>
  </si>
  <si>
    <t>CHEVROLET AVEO 12 V</t>
  </si>
  <si>
    <t>TOYOTA COROLLA 12 V</t>
  </si>
  <si>
    <t>HYUNDAI ACCENT, VELOSTER, KIA RIO 12 V</t>
  </si>
  <si>
    <t>NISSAN, RENAULT</t>
  </si>
  <si>
    <t>VOLKSWAGEN, AUDI, VALEO, SKODA 12 V</t>
  </si>
  <si>
    <t>VALEO, RENAULT, NISSAN 12 V</t>
  </si>
  <si>
    <t>RENAULT, PEUGEOT, CHEVROLET SAIL 12 V</t>
  </si>
  <si>
    <t>RENAULT, PEUGEOT, CARROS CHINOS 12 V</t>
  </si>
  <si>
    <t>PEUGEOT, CITROEN, FIAT 12 V</t>
  </si>
  <si>
    <t>HYUNDAI i10, i20, KIA PICANTO 12 V</t>
  </si>
  <si>
    <t>HYUNDAI ACCENT, i30, KIA SOUL, CERATO 12 V</t>
  </si>
  <si>
    <t>HYUNDAI, KIA, PRIDE, OPTIMA 12 V</t>
  </si>
  <si>
    <t>SUZUKI ALTO 12 V</t>
  </si>
  <si>
    <t>TOYOTA ETIOS, COROLLA 12 V</t>
  </si>
  <si>
    <t>CHEVROLET, SPARK, GM, MATIZ 12 V</t>
  </si>
  <si>
    <t>KIA RIO, NEW SONATA, VERNA, OPTIMA 12 V</t>
  </si>
  <si>
    <t>VOLTIMETRO DIGITAL UNIVERSAL (12 V, 24 V)</t>
  </si>
  <si>
    <t>HYUNDAI, COUNTY, BUS 24 V</t>
  </si>
  <si>
    <t>HONDA, ISUZU, HITACHI 12 V</t>
  </si>
  <si>
    <t>STAREX, LIBERO 12 V</t>
  </si>
  <si>
    <t>MIGHTY TURBO 24 V</t>
  </si>
  <si>
    <t>HYUNDAI, CAMION, HD65, HD72 24 V</t>
  </si>
  <si>
    <t>CAMION, VOLVO, MITSUBISHI 24 V</t>
  </si>
  <si>
    <t>HYUNDAI, CAMION 24 V</t>
  </si>
  <si>
    <t>TOYOTA HILUX MOTOR 1GD 12 V</t>
  </si>
  <si>
    <t>HYUNDAI, EXCAVATOR 24 V</t>
  </si>
  <si>
    <t>HYUNDAI H1, STAREX, SORENTO, TERRACAN 12 V</t>
  </si>
  <si>
    <t>DAEWOO, CIELO 12 V</t>
  </si>
  <si>
    <t>FIAT, UNIVERSAL PARA ADAPTAR 12 V</t>
  </si>
  <si>
    <t>HAVAL, CARROS CHINOS 12 V</t>
  </si>
  <si>
    <t>FORD, FIAT 12 V</t>
  </si>
  <si>
    <t>HINO, NISSAN 24 V</t>
  </si>
  <si>
    <t>ISUZU, JAC 12 V</t>
  </si>
  <si>
    <t>HINO, 500, TOYOTA, DYNA 24 V</t>
  </si>
  <si>
    <t>TOYOTA HILUX 1GD, YARIS, ENVIDIA 12 V</t>
  </si>
  <si>
    <t>KIA SEPHIA, SPECTRA 12 V</t>
  </si>
  <si>
    <t>NISSAN, HITACHI 12 V</t>
  </si>
  <si>
    <t>KIA RIO, SEPHIA 12 V</t>
  </si>
  <si>
    <t>HYUNDAI SANTAFE, KIA CARENS, SPORTAGE 12 V</t>
  </si>
  <si>
    <t>MITSUBISHI FUSO, CANTER, FD 24 V</t>
  </si>
  <si>
    <t>MITSUBISHI FUSO, CANTER 12 V</t>
  </si>
  <si>
    <t>MITSUBISHI L200, FUSO 12 V</t>
  </si>
  <si>
    <t>HYUNDAI, DOOSAN, BULLDOZER EXCAVADORA 24 V</t>
  </si>
  <si>
    <t>HYUNDAI 18 TONELADAS, MITSUBISHI, FORD 24 V</t>
  </si>
  <si>
    <t>CUMMINS, DONGFENG, TRUCK 24 V</t>
  </si>
  <si>
    <t>MITSUBISHI, JAC, REFINE, EAGLE 12 V</t>
  </si>
  <si>
    <t>MAZDA, FORD, KIA SEPHIA, SUBARU 12 V</t>
  </si>
  <si>
    <t>HYUNDAI ELANTRA, MITSUBISHI 12 V</t>
  </si>
  <si>
    <t>MITSUBISHI LIBERO, MIRAGE, NISSAN 12 V</t>
  </si>
  <si>
    <t>CHEVROLET, GEO, SUZUKI 12 V</t>
  </si>
  <si>
    <t>ISUZU, JAC 24 V</t>
  </si>
  <si>
    <t>MITSUBISHI, VOLVO, SCANIA 24 V</t>
  </si>
  <si>
    <t>MAZDA, PICK-UP 2.2, MITSUBISHI 12 V</t>
  </si>
  <si>
    <t>KIA, JUMBO, TITAN 24 V</t>
  </si>
  <si>
    <t>CHEVROLET CRUZE, SONIC, TRACKER 12 V</t>
  </si>
  <si>
    <t>CHEVROLET SPIN, ONIX 12 V</t>
  </si>
  <si>
    <t>SSANGYONG KORANDO NEW ACTYON 12 V</t>
  </si>
  <si>
    <t>DAEWOO NEW DAMAS 12 V</t>
  </si>
  <si>
    <t>CHEVROLET SPARK, MATIZ 12 V</t>
  </si>
  <si>
    <t>KIA, BONDO, PRIDE, HI BESTA 12 V</t>
  </si>
  <si>
    <t>KIA, CARNIVAL, PREGIO, POONG SUNG 12 V</t>
  </si>
  <si>
    <t>HONDA, ACURA 12 V</t>
  </si>
  <si>
    <t>MITSUBISHI, HONDA, SUZUKI, ISUZU 12 V</t>
  </si>
  <si>
    <t>MITSUBISHI PAJERO, CANTER, NISSAN 12 V</t>
  </si>
  <si>
    <t>MITSUBISHI MONTERO, NISSAN 12 V</t>
  </si>
  <si>
    <t>MAZDA, D-P 12 V</t>
  </si>
  <si>
    <t>CHEVROLET AVEO</t>
  </si>
  <si>
    <t>KOREA, SSANGYONG, REXTON, MUSSO 12 V</t>
  </si>
  <si>
    <t>MATIZ 12V</t>
  </si>
  <si>
    <t>CANTIDAD</t>
  </si>
  <si>
    <t>NISSAN AD, HITACHI 12 V</t>
  </si>
  <si>
    <t>OEM</t>
  </si>
  <si>
    <t>CODIGO</t>
  </si>
  <si>
    <t>DESCRIPCION</t>
  </si>
  <si>
    <t>P.COMPRA</t>
  </si>
  <si>
    <t>MARGENDE UTILIDAD</t>
  </si>
  <si>
    <t>P. VENTA</t>
  </si>
  <si>
    <t>UTILIDAD</t>
  </si>
  <si>
    <t>PROVEEDOR</t>
  </si>
  <si>
    <t>CANDAO</t>
  </si>
  <si>
    <t>YP-ST-115</t>
  </si>
  <si>
    <t>JHACORP IMPORT</t>
  </si>
  <si>
    <t>YP-ST-23</t>
  </si>
  <si>
    <t xml:space="preserve">TOYOTA 2L </t>
  </si>
  <si>
    <t>YP-ST-24A</t>
  </si>
  <si>
    <t>YP-ST-155</t>
  </si>
  <si>
    <t>YP-ST-176</t>
  </si>
  <si>
    <t>YP-ST-188</t>
  </si>
  <si>
    <t>YP-ST-114</t>
  </si>
  <si>
    <t>YP-ST-170</t>
  </si>
  <si>
    <t>YP-ST-114B</t>
  </si>
  <si>
    <t>TOYOTA RAV4 DENSO</t>
  </si>
  <si>
    <t>YP-ST-138</t>
  </si>
  <si>
    <t>YP-ST-150</t>
  </si>
  <si>
    <t>YP-ST-165</t>
  </si>
  <si>
    <t>YP-ST-168</t>
  </si>
  <si>
    <t>YP-ST-198</t>
  </si>
  <si>
    <t>YP-ST-154</t>
  </si>
  <si>
    <t>YP-ST-136</t>
  </si>
  <si>
    <t>YP-ST-133</t>
  </si>
  <si>
    <t>YP-ST-113A</t>
  </si>
  <si>
    <t>NISSAN SUNNY</t>
  </si>
  <si>
    <t>YP-ST-103</t>
  </si>
  <si>
    <t>CHEVY / AVEO</t>
  </si>
  <si>
    <t>agotado</t>
  </si>
  <si>
    <t>YP-ST-214</t>
  </si>
  <si>
    <t>TOYOTA 2C CHICO</t>
  </si>
  <si>
    <t>YP-ST-175</t>
  </si>
  <si>
    <t>YP-ST-57</t>
  </si>
  <si>
    <t>23300-GS20A</t>
  </si>
  <si>
    <t>YP-ST-147</t>
  </si>
  <si>
    <t>YP-ST-194</t>
  </si>
  <si>
    <t>YP-ST-117B</t>
  </si>
  <si>
    <t>YP-ST-109</t>
  </si>
  <si>
    <t>YP-ST-100</t>
  </si>
  <si>
    <t>HYUNDAI EXCEL</t>
  </si>
  <si>
    <t>YP-ST-119</t>
  </si>
  <si>
    <t>ISUZU , FOTON 9T</t>
  </si>
  <si>
    <t>YP-ST-120</t>
  </si>
  <si>
    <t>YP-ST-145</t>
  </si>
  <si>
    <t>YP-ST-163</t>
  </si>
  <si>
    <t>YP-ST-110</t>
  </si>
  <si>
    <t>YP-ST-28A</t>
  </si>
  <si>
    <t>YP-ST-29</t>
  </si>
  <si>
    <t>YP-ST-34</t>
  </si>
  <si>
    <t>NISSAN CIVILIAN ED33 24V.</t>
  </si>
  <si>
    <t>YP-ST-38</t>
  </si>
  <si>
    <t>YP-ST-40</t>
  </si>
  <si>
    <t>YP-ST-42</t>
  </si>
  <si>
    <t>YP-ST-45A</t>
  </si>
  <si>
    <t>YP-ST-81</t>
  </si>
  <si>
    <t>YP-ST-82</t>
  </si>
  <si>
    <t>YP-ST-238</t>
  </si>
  <si>
    <t>YP-ST-116</t>
  </si>
  <si>
    <t>YP-ST-123</t>
  </si>
  <si>
    <t>HYUNDAI-KIA 8T</t>
  </si>
  <si>
    <t>YP-ST-124</t>
  </si>
  <si>
    <t>YP-ST-126</t>
  </si>
  <si>
    <t>YP-ST-131</t>
  </si>
  <si>
    <t>SONATA N20</t>
  </si>
  <si>
    <t>YP-ST-134</t>
  </si>
  <si>
    <t>YP-ST-141</t>
  </si>
  <si>
    <t>YP-ST-158</t>
  </si>
  <si>
    <t>YP-ST-166</t>
  </si>
  <si>
    <t>TOYOTA 18R</t>
  </si>
  <si>
    <t>YP-ST-167</t>
  </si>
  <si>
    <t>YP-ST-169</t>
  </si>
  <si>
    <t>YP-ST-183</t>
  </si>
  <si>
    <t>YP-ST-191</t>
  </si>
  <si>
    <t>YP-ST-193</t>
  </si>
  <si>
    <t>YP-ST-200</t>
  </si>
  <si>
    <t>YP-ST-231</t>
  </si>
  <si>
    <t>YP-ST-72</t>
  </si>
  <si>
    <t>YP-ST-151</t>
  </si>
  <si>
    <t>YP-ST-32</t>
  </si>
  <si>
    <t>YP-ST-102</t>
  </si>
  <si>
    <t>YP-ST-199</t>
  </si>
  <si>
    <t>VT-SP-159P</t>
  </si>
  <si>
    <t>G&amp;R AUTOPARTES</t>
  </si>
  <si>
    <t>VT-SG-105E</t>
  </si>
  <si>
    <t>HYUNDAY SONATA MECANICIO COPILOTO</t>
  </si>
  <si>
    <t>SO718S</t>
  </si>
  <si>
    <t>TOYOTA HILUX 1KD 2KD BOSCH</t>
  </si>
  <si>
    <t>VT-SG-125E</t>
  </si>
  <si>
    <t>VT-SG-183E</t>
  </si>
  <si>
    <t>VT-SG-100E</t>
  </si>
  <si>
    <t>VT-SP-119E</t>
  </si>
  <si>
    <t>VT-SG-126E</t>
  </si>
  <si>
    <t>VT-SG-165E</t>
  </si>
  <si>
    <t>VT-SG-106E</t>
  </si>
  <si>
    <t>VT-SG-107E</t>
  </si>
  <si>
    <t>VT-SP-105P</t>
  </si>
  <si>
    <t>VT-SG-158E</t>
  </si>
  <si>
    <t>VT-SG-180E</t>
  </si>
  <si>
    <t>HYUNDAI HI,H100</t>
  </si>
  <si>
    <t>VT-SG-142E</t>
  </si>
  <si>
    <t>HYUNDAI H1,H100</t>
  </si>
  <si>
    <t>MAX IMPORT</t>
  </si>
  <si>
    <t>HYUNDAI N20</t>
  </si>
  <si>
    <t>TOYOTA 2C GRANDE</t>
  </si>
  <si>
    <t>QDY1287</t>
  </si>
  <si>
    <t>D6RA151</t>
  </si>
  <si>
    <t>HYUNDAI H1 MODERNO</t>
  </si>
  <si>
    <t>36100-04300</t>
  </si>
  <si>
    <t>36100-23120</t>
  </si>
  <si>
    <t>NQD-4197</t>
  </si>
  <si>
    <t>VALEO CHINO/BYD</t>
  </si>
  <si>
    <t>YP-ST-106</t>
  </si>
  <si>
    <t>YP-ST-118</t>
  </si>
  <si>
    <t>YP-ST-127</t>
  </si>
  <si>
    <t>YP-ST-152</t>
  </si>
  <si>
    <t>YP-ST-140</t>
  </si>
  <si>
    <t>YP- ST-173</t>
  </si>
  <si>
    <t>DIENTES</t>
  </si>
  <si>
    <t>BRILLANCE (JAC MIT. MOD) 12V.</t>
  </si>
  <si>
    <t xml:space="preserve">VW METROPOLITANO </t>
  </si>
  <si>
    <t>TOYOTA YARIS MODERNO 16/17 A1</t>
  </si>
  <si>
    <t>TOYOTA YARIS MODERNO 16/17 RAV 4</t>
  </si>
  <si>
    <t xml:space="preserve">TOYOTA ETIOS </t>
  </si>
  <si>
    <t>TOYOTA AVANZA VIOS</t>
  </si>
  <si>
    <t xml:space="preserve">TOYOTA 5L 12V </t>
  </si>
  <si>
    <t>TOYOTA 5A CHINO</t>
  </si>
  <si>
    <t xml:space="preserve">TOYOTA 4A-5A </t>
  </si>
  <si>
    <t xml:space="preserve">CHERY QQ </t>
  </si>
  <si>
    <t xml:space="preserve">CHEV. N200,N300 </t>
  </si>
  <si>
    <t xml:space="preserve">FAW </t>
  </si>
  <si>
    <t xml:space="preserve">GREAT WALL VOLEX C30 </t>
  </si>
  <si>
    <t>HYUNDAI i20, i30 12V</t>
  </si>
  <si>
    <t>HYUNDAI SANTA FE GASOLINERO</t>
  </si>
  <si>
    <t xml:space="preserve">TOYOTA 1GD BOSCH </t>
  </si>
  <si>
    <t>SUZUKI DONGFENG  GRANDE</t>
  </si>
  <si>
    <t>SUZUKI APV</t>
  </si>
  <si>
    <t>MARGEN DE UTILIDAD</t>
  </si>
  <si>
    <t>P.VENTA</t>
  </si>
  <si>
    <t>JHANCORP IMPORT</t>
  </si>
  <si>
    <t>YP-ALT-132</t>
  </si>
  <si>
    <t>NISSAN SENTRA 12V 70AMP.</t>
  </si>
  <si>
    <t>KIA RIO 2 PINES 90AMP</t>
  </si>
  <si>
    <t>VT-AP-188E</t>
  </si>
  <si>
    <t>JAC J2,J3 DENSO 12V 85A/5PK/4P</t>
  </si>
  <si>
    <t>VT-A-202E</t>
  </si>
  <si>
    <t>A01-4278R</t>
  </si>
  <si>
    <t xml:space="preserve">DONG FENG 45A </t>
  </si>
  <si>
    <t>VT-AG-145E</t>
  </si>
  <si>
    <t>VT-AG-107E</t>
  </si>
  <si>
    <t>TOYOTA YARIS</t>
  </si>
  <si>
    <t>YP-ALT-75</t>
  </si>
  <si>
    <t>DAEWOO RACER/LEMANS 12V 80A</t>
  </si>
  <si>
    <t>YP-ALT-106</t>
  </si>
  <si>
    <t>TOYOTA 4E-5E CHICO</t>
  </si>
  <si>
    <t>YP-ALT-112</t>
  </si>
  <si>
    <t>NISSAN TIIDA 100AMP.</t>
  </si>
  <si>
    <t>YP-ALT-118</t>
  </si>
  <si>
    <t>NISSAN K15,K21,K25</t>
  </si>
  <si>
    <t>YP-ALT-119</t>
  </si>
  <si>
    <t>TOYOTA 2C</t>
  </si>
  <si>
    <t>YP-ALT-121</t>
  </si>
  <si>
    <t>CHEVROLET N300</t>
  </si>
  <si>
    <t>YP-ALT-137</t>
  </si>
  <si>
    <t>KIA RIO 3 12V 90A 4S</t>
  </si>
  <si>
    <t>YP-ALT-145</t>
  </si>
  <si>
    <t xml:space="preserve">JAC S2 J2 J3 WULLING12V/90A/5PK 4PINES </t>
  </si>
  <si>
    <t>YP-ALT-148</t>
  </si>
  <si>
    <t>TOYOTA CORROLA 4E,5E DERECHO</t>
  </si>
  <si>
    <t>YP-ALT-149</t>
  </si>
  <si>
    <t>CHANGAN NEW VAN 5PK</t>
  </si>
  <si>
    <t>YP-ALT-165</t>
  </si>
  <si>
    <t>YP-ALT-157</t>
  </si>
  <si>
    <t>DONGFENG DFSK GLORY 330</t>
  </si>
  <si>
    <t>YP-ALT-156</t>
  </si>
  <si>
    <t>DONGFENG C37/DK15</t>
  </si>
  <si>
    <t>YP-ALT-115</t>
  </si>
  <si>
    <t>MONTACARGA/EXCAVADORA</t>
  </si>
  <si>
    <t>YP-ALT-87</t>
  </si>
  <si>
    <t>TOYOTA 2C SIN VACIO</t>
  </si>
  <si>
    <t>VT-A-195P</t>
  </si>
  <si>
    <t>G&amp;R</t>
  </si>
  <si>
    <t>VT-AG-102E</t>
  </si>
  <si>
    <t>CHEVROLET AVEO 6PK</t>
  </si>
  <si>
    <t>VT-AP-102E</t>
  </si>
  <si>
    <t>NISSAN NAVARA YD22 90AMP 2PK</t>
  </si>
  <si>
    <t>VT-AG-106E</t>
  </si>
  <si>
    <t>TOYOTA TERCEL 2E,5E</t>
  </si>
  <si>
    <t>VT-AG-113E</t>
  </si>
  <si>
    <t>TOYOTA COROLLA 4E,4E DERECHO</t>
  </si>
  <si>
    <t>TOYOTA HILUX 1KD,2KD 100AMP.</t>
  </si>
  <si>
    <t>VT-AG-118E</t>
  </si>
  <si>
    <t>HYUNDAI TUCSON,SANTA FE KIA SPORTAGE</t>
  </si>
  <si>
    <t>VT-AG-147E</t>
  </si>
  <si>
    <t>CHEVROLET SAIL 2012</t>
  </si>
  <si>
    <t>VT-AP-179E</t>
  </si>
  <si>
    <t>VT-AG-110E</t>
  </si>
  <si>
    <t>HYUNDAI SONATA TAPA NEGRA</t>
  </si>
  <si>
    <t>VT-A-254E</t>
  </si>
  <si>
    <t>TOYOTA COROLA 4A IZQUIERDO REDONDO</t>
  </si>
  <si>
    <t>37300-2G400</t>
  </si>
  <si>
    <t>SANTA FE VALEO 4P</t>
  </si>
  <si>
    <t>MAX  IMPORT</t>
  </si>
  <si>
    <t>27060-64420</t>
  </si>
  <si>
    <t>NISSAN TD27</t>
  </si>
  <si>
    <t>37300-2B300</t>
  </si>
  <si>
    <t xml:space="preserve">SENTRA MIT </t>
  </si>
  <si>
    <t>13334N</t>
  </si>
  <si>
    <t xml:space="preserve">SENTRA HITACHI 80A </t>
  </si>
  <si>
    <t xml:space="preserve">CHEVROLET AVEO </t>
  </si>
  <si>
    <t>DAEWOO TICO</t>
  </si>
  <si>
    <t>TOYOTA 4E,5E</t>
  </si>
  <si>
    <t>TOYOTA YARIS 4S</t>
  </si>
  <si>
    <t>TOYOTA YARIS 3S</t>
  </si>
  <si>
    <t>BYD F3  NUEVO</t>
  </si>
  <si>
    <t>HYUNDAI SONATA</t>
  </si>
  <si>
    <t>KIA RIO 2S</t>
  </si>
  <si>
    <t>TOYOTA 2L V/CH</t>
  </si>
  <si>
    <t>K178A2</t>
  </si>
  <si>
    <t>TOYOTA 2L V/GR</t>
  </si>
  <si>
    <t>K173A</t>
  </si>
  <si>
    <t>HYUNDAI PORTER LENSA</t>
  </si>
  <si>
    <t>HYUNDAI STAREX LENSA</t>
  </si>
  <si>
    <t>MAQUINARIA 1P HX181</t>
  </si>
  <si>
    <t>TOYOTA YARIS ETIOS 2 PINES</t>
  </si>
  <si>
    <t>JAC MIT 4S NUEVO</t>
  </si>
  <si>
    <t>CHEVROLET N300 TAPA PLASTICO</t>
  </si>
  <si>
    <t>MITSUBISHI CANTER 24V</t>
  </si>
  <si>
    <t>37300-24511</t>
  </si>
  <si>
    <t>HYUNDAI EXCEL 80AMP</t>
  </si>
  <si>
    <t>HX046</t>
  </si>
  <si>
    <t>VT-204P</t>
  </si>
  <si>
    <t>YP-ALT-514</t>
  </si>
  <si>
    <t>TOYOTA YARIS, ETIOS MODERNO 12V</t>
  </si>
  <si>
    <t>YP-ALT-01</t>
  </si>
  <si>
    <t>TOYOTA 3L 12V</t>
  </si>
  <si>
    <t>YP-ALT-15</t>
  </si>
  <si>
    <t>YP-ALT-38</t>
  </si>
  <si>
    <t>NISSAN FRONTIER, HITACHI 12V</t>
  </si>
  <si>
    <t>YP-ALT-528</t>
  </si>
  <si>
    <t>YP-ALT-529</t>
  </si>
  <si>
    <t>NISSAN GA15 SENTRA, ALMERA C/CACHITO 12V</t>
  </si>
  <si>
    <t>YP-ALT-146</t>
  </si>
  <si>
    <t>KIA PICANTO 12V</t>
  </si>
  <si>
    <t>YP-ALT-159</t>
  </si>
  <si>
    <t>KIA PICANTO SI 3P POLEA SIMPLE 52MM 12V</t>
  </si>
  <si>
    <t>VT-AG-120E</t>
  </si>
  <si>
    <t>NISSAN SENTRA NUEVO 12 V</t>
  </si>
  <si>
    <t>P. COMPRA</t>
  </si>
  <si>
    <t>UTILIDAD 30</t>
  </si>
  <si>
    <t>UTILIDAD 20</t>
  </si>
  <si>
    <t>TK0-107</t>
  </si>
  <si>
    <t>ZM-1261</t>
  </si>
  <si>
    <t>HYUNDAI, KIA MODERNO ENCHUFE CUADRADO</t>
  </si>
  <si>
    <t>ZM-1391</t>
  </si>
  <si>
    <t>HYUNDAI, KIA I10 PICANTO 2008</t>
  </si>
  <si>
    <t>ZM-1425</t>
  </si>
  <si>
    <t xml:space="preserve">TOYOTA RAV-4, AVENSIS EMBOLO CUADRADO </t>
  </si>
  <si>
    <t>ZM-1495</t>
  </si>
  <si>
    <t>HYUNDAI H1 MOD 12V</t>
  </si>
  <si>
    <t>ZM-1494</t>
  </si>
  <si>
    <t>BWM X3 VALEO COMPLETO 2 PERNOS 3H</t>
  </si>
  <si>
    <t>ZM-1660</t>
  </si>
  <si>
    <t>ZM-1710</t>
  </si>
  <si>
    <t>NISSAN SENTRA 2007HITACHI</t>
  </si>
  <si>
    <t>ZM-1981</t>
  </si>
  <si>
    <t>ZM-2261</t>
  </si>
  <si>
    <t>KIA CERATO ENCHUFE CUADRADO 12V</t>
  </si>
  <si>
    <t>ZM-391</t>
  </si>
  <si>
    <t>KIA RIO/HYUNDAI ELANTRA/ACCENT/I20 ENCHUFE ORIGINAL KIA 1</t>
  </si>
  <si>
    <t>ZM-392</t>
  </si>
  <si>
    <t>HY ELANTRA,TUCSON,I30-KIA SPORTAGE CONECTOR CUADRADO</t>
  </si>
  <si>
    <t>ZM-2391</t>
  </si>
  <si>
    <t>HYUNDAI HB20, KIA SOUL CONECTOR CUADRADO</t>
  </si>
  <si>
    <t>ZM-1498</t>
  </si>
  <si>
    <t>VOLKSWAGEN SISTEMA VALEO CON CONECTOR</t>
  </si>
  <si>
    <t>ZM-261</t>
  </si>
  <si>
    <t>KIA RIO/CHEVROLET SPARK/PRISMA/ONIX ENCHUFE REDONDO</t>
  </si>
  <si>
    <t>ZM-390</t>
  </si>
  <si>
    <t>KIA SPORTAGE, HY CRETA/VELOSTER CUERPO CH C/CONECTOR</t>
  </si>
  <si>
    <t>ZM-421</t>
  </si>
  <si>
    <t>REBOBINADO TOYOTA 3C</t>
  </si>
  <si>
    <t>ZM-641</t>
  </si>
  <si>
    <t>SCANIA 114 TIPO BOSCH</t>
  </si>
  <si>
    <t>ZM-1421</t>
  </si>
  <si>
    <t>REBOBINADO DE TOYOTA 2C/3C</t>
  </si>
  <si>
    <t>ZM-1825</t>
  </si>
  <si>
    <t>ISKRA PERKINS PERNO DERECHA PUNTA PLASTICA 12V</t>
  </si>
  <si>
    <t>ZM-6494</t>
  </si>
  <si>
    <t>CHEVROLET AVEO, SAIL, SONIC 12V</t>
  </si>
  <si>
    <t>ZM-665</t>
  </si>
  <si>
    <t>TOYOTA ETIOS 16/17</t>
  </si>
  <si>
    <t>ZM-681</t>
  </si>
  <si>
    <t>NISSAN CD17</t>
  </si>
  <si>
    <t>ZM-698</t>
  </si>
  <si>
    <t>MITSUBISHI ECLIPSE 12V</t>
  </si>
  <si>
    <t>ZM-703</t>
  </si>
  <si>
    <t>TOYOTA STARLET, TERCEL 2E</t>
  </si>
  <si>
    <t>ZM-705</t>
  </si>
  <si>
    <t>SOLENOIDE 4E/5E</t>
  </si>
  <si>
    <t>ZM-708</t>
  </si>
  <si>
    <t>TOYOTA YARIS, PROBOX 12V</t>
  </si>
  <si>
    <t>ZM-8494</t>
  </si>
  <si>
    <t>RENAULT LONGAN, DUSTER, CLIO, KANGOO, LAGUNA, SANDERO</t>
  </si>
  <si>
    <t>ZM-860</t>
  </si>
  <si>
    <t>DAEWOO CHEVY</t>
  </si>
  <si>
    <t>ZM-864</t>
  </si>
  <si>
    <t>DAEWOO TICO 12V</t>
  </si>
  <si>
    <t>ZM-896</t>
  </si>
  <si>
    <t>MITSUBISHI CANTER , 4D34- 4D32</t>
  </si>
  <si>
    <t>ZM-1841</t>
  </si>
  <si>
    <t>DELCO 39MT 24V</t>
  </si>
  <si>
    <t>ZM-4699</t>
  </si>
  <si>
    <t>HYUNDAI, MITSUBISHI, NISSAN – UNIVERSAL (SS-1528)</t>
  </si>
  <si>
    <t>ZM-5261</t>
  </si>
  <si>
    <t>HYUNDAI GENESIS TIPO KIA CON ENCHUFE CUADRADO</t>
  </si>
  <si>
    <t>ZM-4996</t>
  </si>
  <si>
    <t>NISSAN MARCH, TIIDA, VERSA 12V</t>
  </si>
  <si>
    <t>ZM-710</t>
  </si>
  <si>
    <t>NISSAN SENTRA 1.6, NISSAN SUNNY 1.3</t>
  </si>
  <si>
    <t>ZM-894</t>
  </si>
  <si>
    <t>MIT. CANTER PORTER 12V</t>
  </si>
  <si>
    <t>ZM-978</t>
  </si>
  <si>
    <t>TOYOTA HILUX 2KD</t>
  </si>
  <si>
    <t>ZM-4698</t>
  </si>
  <si>
    <t>HYUNDAI/ MITSUBISHI/ NISSAN- UNIVERSAL (SS-1535)</t>
  </si>
  <si>
    <t>ZM-356</t>
  </si>
  <si>
    <t>DELCO 42MT 12V CON EMBOLO</t>
  </si>
  <si>
    <t>ZM-362</t>
  </si>
  <si>
    <t>DELCO 42MT 1115657 24V CON EMBOLO</t>
  </si>
  <si>
    <t>ZM-841</t>
  </si>
  <si>
    <t>DELCO 39MT 12V</t>
  </si>
  <si>
    <t>ZM-495</t>
  </si>
  <si>
    <t>HYUNDAY H1, H100</t>
  </si>
  <si>
    <t>153400-1520</t>
  </si>
  <si>
    <t>SL2024007</t>
  </si>
  <si>
    <t>FOTON GAS CH  12V.</t>
  </si>
  <si>
    <t>QD1302</t>
  </si>
  <si>
    <t>JAC FOTON E/FIJO  12V.</t>
  </si>
  <si>
    <t>ND1489007</t>
  </si>
  <si>
    <t>BOBINA 2L</t>
  </si>
  <si>
    <t>ZM-1818</t>
  </si>
  <si>
    <t>ZM-818</t>
  </si>
  <si>
    <t>ZM-898</t>
  </si>
  <si>
    <t>ZM-3261</t>
  </si>
  <si>
    <t>CHEVROLET AVEO TIPO KIA 12V</t>
  </si>
  <si>
    <t>UF-1.145/4</t>
  </si>
  <si>
    <t>MAX IMPORTACIONES</t>
  </si>
  <si>
    <t>UF-1.144/4</t>
  </si>
  <si>
    <t>MITSUBISHI CANTER 12V</t>
  </si>
  <si>
    <t>UF-1.154/4</t>
  </si>
  <si>
    <t>TOYOTA 2L 12V</t>
  </si>
  <si>
    <t>UF-1.171/4</t>
  </si>
  <si>
    <t>VOLKSWAGEN FOX POLO CHEVROLET CORSA / RENAULT LOGAN 12V</t>
  </si>
  <si>
    <t>UF-1.200/4</t>
  </si>
  <si>
    <t>HONDA 12V </t>
  </si>
  <si>
    <t>UF-1.204/3</t>
  </si>
  <si>
    <t>CHEVROLET RENAULT KANGOO PEUGEOT 12V</t>
  </si>
  <si>
    <t>UF-1.210/4</t>
  </si>
  <si>
    <t>FIAT FIORINO 12V</t>
  </si>
  <si>
    <t>UF-1.211/4</t>
  </si>
  <si>
    <t>TOYOTA 2C GRANDE 12V</t>
  </si>
  <si>
    <t>NISSAN TD27 12V</t>
  </si>
  <si>
    <t>UF-1.213/4</t>
  </si>
  <si>
    <t>BOBCAT JOHN DEERE 12V</t>
  </si>
  <si>
    <t>UF-1.236/4</t>
  </si>
  <si>
    <t>ISKRA CHICO 12V</t>
  </si>
  <si>
    <t>UF-1.223/4</t>
  </si>
  <si>
    <t>TOYOTA 2KD BOSCH 12V </t>
  </si>
  <si>
    <t>UF-1.222/4</t>
  </si>
  <si>
    <t>TOYOTA 2KD GASOLINERO CARBON CHICO 12V</t>
  </si>
  <si>
    <t>UF-1.276/4</t>
  </si>
  <si>
    <t>MERCEDES BENZ E500 12V </t>
  </si>
  <si>
    <t>UF-1.253/4</t>
  </si>
  <si>
    <t>KIA RIO 12V</t>
  </si>
  <si>
    <t>UF-1.249/4</t>
  </si>
  <si>
    <t>TOYOTA MODERNO 16/17 12V</t>
  </si>
  <si>
    <t>UF-1.159/4</t>
  </si>
  <si>
    <t>HYUNDAI EXCEL 4 CARBONES 12V</t>
  </si>
  <si>
    <t>UF-1.218/4</t>
  </si>
  <si>
    <t>VOLKSWAGEN MERCEDES 12V </t>
  </si>
  <si>
    <t>UF-1.219/4</t>
  </si>
  <si>
    <t>UF-1.186/4</t>
  </si>
  <si>
    <t>HYUNDAI H1 12V</t>
  </si>
  <si>
    <t>UF-1.208/4</t>
  </si>
  <si>
    <t>TOYOTA 2C CHICO 12V</t>
  </si>
  <si>
    <t>UF-1.212/4</t>
  </si>
  <si>
    <t>UF-1.237/4</t>
  </si>
  <si>
    <t>ISKRA GRANDE 12V </t>
  </si>
  <si>
    <t>UF-1.299/4</t>
  </si>
  <si>
    <t>ISKRA GRANDE 24V</t>
  </si>
  <si>
    <t>UF-1.242/4</t>
  </si>
  <si>
    <t>TOYOTA RAV 4 CCW 12V </t>
  </si>
  <si>
    <t>UF-1.254/4</t>
  </si>
  <si>
    <t>TOYOTA RAV 4 CW 12V</t>
  </si>
  <si>
    <t>UF-1.298/4</t>
  </si>
  <si>
    <t>HYUNDAI MODERNO #3 12V</t>
  </si>
  <si>
    <t>UF-1.297/4</t>
  </si>
  <si>
    <t>HYUNDAI H1 MODERNO SI 12V</t>
  </si>
  <si>
    <t>UF-1.304/4</t>
  </si>
  <si>
    <t>HYUNDAI TUCSON 12V </t>
  </si>
  <si>
    <t>UF-1.324/2</t>
  </si>
  <si>
    <t>HYUNDAI I10 / RENAULT SANDERO 12V</t>
  </si>
  <si>
    <t>UF-1.325/4</t>
  </si>
  <si>
    <t>CHEVROLET PRISMA 12V</t>
  </si>
  <si>
    <t>UF-1.327/4</t>
  </si>
  <si>
    <t>SUZUKI ALTO 12V </t>
  </si>
  <si>
    <t>UF-1.362/4</t>
  </si>
  <si>
    <t>KIA PICANTO SI 12V </t>
  </si>
  <si>
    <t>UF-1.214/4</t>
  </si>
  <si>
    <t>VT-SG-205E</t>
  </si>
  <si>
    <t>YP-ALT-136</t>
  </si>
  <si>
    <t>27060-11250</t>
  </si>
  <si>
    <t>TOYOTA 1C/2C S/V</t>
  </si>
  <si>
    <t>11203N</t>
  </si>
  <si>
    <t>TOYOTA ETIOS 90 AMP 2P</t>
  </si>
  <si>
    <t>CHERY QQ 75 A</t>
  </si>
  <si>
    <t>TOYOTA IC 2C SIN VACIO</t>
  </si>
  <si>
    <t>TOYOTA YARIS 4PK</t>
  </si>
  <si>
    <t>YP-VR-35</t>
  </si>
  <si>
    <t>REGULADOR DE VOLTAGE VW,MERCEDES BOSCH 12V</t>
  </si>
  <si>
    <t>YP-VR-36PRIM</t>
  </si>
  <si>
    <t>REGULADOR DE VOLTAGE VW,FORD,FIAT 12T</t>
  </si>
  <si>
    <t>YP-VR-89</t>
  </si>
  <si>
    <t>REGULADOR DE VOLTAJE TOYOTA PROBOX 1NZ-FE 4P 12V</t>
  </si>
  <si>
    <t>YP-VR-219</t>
  </si>
  <si>
    <t>REGULADOR DE VOLTAGE HAVAL</t>
  </si>
  <si>
    <t>YP-VR-227</t>
  </si>
  <si>
    <t>RUGULADOR DE VOLTAJE,JAC,JUEYIN 24V INCA POWER</t>
  </si>
  <si>
    <t>YP-VR-244</t>
  </si>
  <si>
    <t>REGULADR DE VOLTAJE HAVAL H2,H6 12V</t>
  </si>
  <si>
    <t>YP-VR-31</t>
  </si>
  <si>
    <t>NISSAN SENTRA MEXICANO 12V</t>
  </si>
  <si>
    <t>YP-VR-90</t>
  </si>
  <si>
    <t>TOYOTA COROLLA, PROBOX 12V</t>
  </si>
  <si>
    <t>YP-VR-114</t>
  </si>
  <si>
    <t>MITSUBISHI LANCER, NISSAN 12V</t>
  </si>
  <si>
    <t>YP-VR-42</t>
  </si>
  <si>
    <t>YP-VR-59</t>
  </si>
  <si>
    <t>HYUNDAI H1, STAREX, KIA PREGIO, K2500 12V</t>
  </si>
  <si>
    <t>YP-VR-79</t>
  </si>
  <si>
    <t>NISSAN SENTRA, PRIMERA, SUNNY, ALMERA 12V</t>
  </si>
  <si>
    <t>YP-VR-14</t>
  </si>
  <si>
    <t>MITSUBISHI MIRAGE 12V</t>
  </si>
  <si>
    <t>YP-VR-36</t>
  </si>
  <si>
    <t>MONARK 12V</t>
  </si>
  <si>
    <t>YP-VR-91</t>
  </si>
  <si>
    <t>TOYOTA HILUX 1KD, 2KD DENSO 12V</t>
  </si>
  <si>
    <t>R-0181</t>
  </si>
  <si>
    <t>HYUNDAI H1, HR/ KIA Bongo K2500</t>
  </si>
  <si>
    <t>R-0185</t>
  </si>
  <si>
    <t>HYUNDAI i10, i20/KIA Picanto, Rio</t>
  </si>
  <si>
    <t>R-0193</t>
  </si>
  <si>
    <t>CITROEN/FORD/PEUGEOT/VOLKSWAGEN</t>
  </si>
  <si>
    <t>R-0213</t>
  </si>
  <si>
    <t>JAC J2, J3</t>
  </si>
  <si>
    <t>R-0217</t>
  </si>
  <si>
    <t>R-0056</t>
  </si>
  <si>
    <t>CHEVROLET-GM/VOLKSWAGEN</t>
  </si>
  <si>
    <t>R-0058</t>
  </si>
  <si>
    <t>TOYOTA Corolla/VOLKSWAGEN/FIAT/PEUGEOT</t>
  </si>
  <si>
    <t>R-0060</t>
  </si>
  <si>
    <t>NISSAN</t>
  </si>
  <si>
    <t>R-0063</t>
  </si>
  <si>
    <t>CHEVROLET-GM/CITROEN/PEUGEOT</t>
  </si>
  <si>
    <t>R-0064</t>
  </si>
  <si>
    <t xml:space="preserve">CHEVROLET-GM Astra, Blazer, S10, Vectra </t>
  </si>
  <si>
    <t>R-0065</t>
  </si>
  <si>
    <t>CHEVROLET-GM Blazer</t>
  </si>
  <si>
    <t>R-0066</t>
  </si>
  <si>
    <t>MITSUBISHI Pajero/HYUNDAI Sonata</t>
  </si>
  <si>
    <t>R-0072</t>
  </si>
  <si>
    <t>HYUNDAI/MITSUBISHI/NISSAN/SUZUKI</t>
  </si>
  <si>
    <t>R-0070</t>
  </si>
  <si>
    <t>HYUNDAI Elantra/KIA Cerato, Rio I/MITSUBISHI Pajero</t>
  </si>
  <si>
    <t>R-0113</t>
  </si>
  <si>
    <t>NISSAN/RENAULT</t>
  </si>
  <si>
    <t>R-0114</t>
  </si>
  <si>
    <t>HYUNDAI Accent/KIA Sorento</t>
  </si>
  <si>
    <t>MEDIDA</t>
  </si>
  <si>
    <t>PORCENTAJE</t>
  </si>
  <si>
    <t>FRONTIER</t>
  </si>
  <si>
    <t>98mm</t>
  </si>
  <si>
    <t>100m</t>
  </si>
  <si>
    <t>BYD</t>
  </si>
  <si>
    <t>HYUNDAI TUCSON</t>
  </si>
  <si>
    <t>TOYOTA 12V</t>
  </si>
  <si>
    <t>MITSUBISHI HD65 24V</t>
  </si>
  <si>
    <t>TOYOTA 2C 12V</t>
  </si>
  <si>
    <t>122mm</t>
  </si>
  <si>
    <t>HYUNDAI</t>
  </si>
  <si>
    <t xml:space="preserve">CHEVROLET CHEVY CHICO </t>
  </si>
  <si>
    <t xml:space="preserve">FUSO MOD HD65 12V </t>
  </si>
  <si>
    <t>FORD GR</t>
  </si>
  <si>
    <t>GA15 CHICO</t>
  </si>
  <si>
    <t>4E 5E</t>
  </si>
  <si>
    <t>VALEO</t>
  </si>
  <si>
    <t>PATH</t>
  </si>
  <si>
    <t>10543841M</t>
  </si>
  <si>
    <t>CHEVROLET PRISMA,ACCENT MODERNO</t>
  </si>
  <si>
    <t>NISSAN SENTRA, GA16 12V 70AMP.</t>
  </si>
  <si>
    <t>VELOSTER 2S NUEVO LENSA</t>
  </si>
  <si>
    <t>TOYOTA COROLLA, LIFAN</t>
  </si>
  <si>
    <t>TOYOTA YARIS 2PIN</t>
  </si>
  <si>
    <t>HYUNDAI H1 LENSA</t>
  </si>
  <si>
    <t>ISUZU 4S 4JA1</t>
  </si>
  <si>
    <t xml:space="preserve">HYUNDAI EXCEL ANT </t>
  </si>
  <si>
    <t>HYUNDAI VERNA 2021</t>
  </si>
  <si>
    <t xml:space="preserve">TOYOTA COROLLA, ETIOS 1 PIN </t>
  </si>
  <si>
    <t>JF1518IR</t>
  </si>
  <si>
    <t>13332N</t>
  </si>
  <si>
    <t>UF-1.288/4</t>
  </si>
  <si>
    <t> FIAT FIORINO BOSCH 12V </t>
  </si>
  <si>
    <t>R-0116</t>
  </si>
  <si>
    <t>FIAT BRAVO CON PIÑON</t>
  </si>
  <si>
    <t>ZEN-07587</t>
  </si>
  <si>
    <t>TOYOTA 3L (NUEVO) 12V</t>
  </si>
  <si>
    <t>FALTA</t>
  </si>
  <si>
    <t>1503-3</t>
  </si>
  <si>
    <t>TD27</t>
  </si>
  <si>
    <t>HYUNDAI H1 H100 L200/MITSUBISHI PAJERO</t>
  </si>
  <si>
    <t>K2700</t>
  </si>
  <si>
    <t>COROLLA 2 PINES</t>
  </si>
  <si>
    <t>CHANGAN , HAFEI (TOYOTA 18R)</t>
  </si>
  <si>
    <t>NISSAN FRONTIER TD27 , TD25</t>
  </si>
  <si>
    <t>1GD,YARIS</t>
  </si>
  <si>
    <t>CHINO,DFSK   12V.</t>
  </si>
  <si>
    <t>DELCO 29MT 24V</t>
  </si>
  <si>
    <t>DELCO 29MT FORD CON MOTORES CUMMINS 12V</t>
  </si>
  <si>
    <t>MITSUBISHI FUSO 6D14 TRUCK (SS-1541)</t>
  </si>
  <si>
    <t>.</t>
  </si>
  <si>
    <t>ZEN-7587</t>
  </si>
  <si>
    <t>ZEN-1759</t>
  </si>
  <si>
    <t>HONDA CITY , FIT</t>
  </si>
  <si>
    <t>ZEN-0770</t>
  </si>
  <si>
    <t>ZEN-0596</t>
  </si>
  <si>
    <t>ZEN-0595</t>
  </si>
  <si>
    <t>ZEN-0809</t>
  </si>
  <si>
    <t>ZEN-10003</t>
  </si>
  <si>
    <t>ZEN-0450</t>
  </si>
  <si>
    <t>ZEN-0597</t>
  </si>
  <si>
    <t>ZEN-1770</t>
  </si>
  <si>
    <t>ZEN-1777</t>
  </si>
  <si>
    <t>HYUNDAI HB20/KIA RIO</t>
  </si>
  <si>
    <t>ZEN-1845</t>
  </si>
  <si>
    <t>ZEN-1678</t>
  </si>
  <si>
    <t>ZEN-0629</t>
  </si>
  <si>
    <t>ZEN-1945</t>
  </si>
  <si>
    <t>ZNP-18126</t>
  </si>
  <si>
    <t xml:space="preserve">FOTON GAS </t>
  </si>
  <si>
    <t>ZNP-19568A</t>
  </si>
  <si>
    <t>BZM-99.1678.0</t>
  </si>
  <si>
    <t>BZM-99.1770.0</t>
  </si>
  <si>
    <t>ZNP-18283</t>
  </si>
  <si>
    <t>CHINO DAMAS</t>
  </si>
  <si>
    <t>ZEN-1091</t>
  </si>
  <si>
    <t>ZNP-18196</t>
  </si>
  <si>
    <t xml:space="preserve">TOYOTA 2C GRANDE </t>
  </si>
  <si>
    <t>ZEN-18056</t>
  </si>
  <si>
    <t>ZEN-18250</t>
  </si>
  <si>
    <t>L200</t>
  </si>
  <si>
    <t>ZM-85.421.01</t>
  </si>
  <si>
    <t>TOYOTA DINA</t>
  </si>
  <si>
    <t>ZM-85.690.01</t>
  </si>
  <si>
    <t>ZNP-18072</t>
  </si>
  <si>
    <t>SD1037</t>
  </si>
  <si>
    <t>DAEWOO DAMAS</t>
  </si>
  <si>
    <t>ZNP-18223</t>
  </si>
  <si>
    <t>DAEWOO</t>
  </si>
  <si>
    <t>ZEN-770</t>
  </si>
  <si>
    <t>ZNP-18284</t>
  </si>
  <si>
    <t>ZEN-1762</t>
  </si>
  <si>
    <t>NISSAN TIIDA</t>
  </si>
  <si>
    <t>ZNP-18916</t>
  </si>
  <si>
    <t>BZM-99.2050.0</t>
  </si>
  <si>
    <t>ZNP-19540</t>
  </si>
  <si>
    <t>BZM-1794</t>
  </si>
  <si>
    <t>ZNP-18178</t>
  </si>
  <si>
    <t>ZNP-18128</t>
  </si>
  <si>
    <t>TD 27</t>
  </si>
  <si>
    <t>ZM-85.680.05</t>
  </si>
  <si>
    <t>ZM-85.680.10</t>
  </si>
  <si>
    <t>NIPPON-18178</t>
  </si>
  <si>
    <t>NIPPON-18383</t>
  </si>
  <si>
    <t>HYUNDAI I10</t>
  </si>
  <si>
    <t>ZNP-19624</t>
  </si>
  <si>
    <t>NIPPON-19629</t>
  </si>
  <si>
    <t>KIA PICANTO</t>
  </si>
  <si>
    <t>ZNP-18385</t>
  </si>
  <si>
    <t>NISSAN GA15</t>
  </si>
  <si>
    <t>ZNP-19542</t>
  </si>
  <si>
    <t>ZNP-18910</t>
  </si>
  <si>
    <t>CHEVROLET SAIL</t>
  </si>
  <si>
    <t>ZNP-18314</t>
  </si>
  <si>
    <t>ZNP-18097</t>
  </si>
  <si>
    <t xml:space="preserve">MITSUBISHI CANTER LARGO/PERKINS </t>
  </si>
  <si>
    <t>ZNP-18425</t>
  </si>
  <si>
    <t>ZNP-18096</t>
  </si>
  <si>
    <t>MITSUBISHI FUSO</t>
  </si>
  <si>
    <t>ZNP-18095</t>
  </si>
  <si>
    <t>MITSUBISHI CANTER CORTO</t>
  </si>
  <si>
    <t>BZM-99.1873.0</t>
  </si>
  <si>
    <t>BZM-99.7004.0</t>
  </si>
  <si>
    <t>ZEN-19573</t>
  </si>
  <si>
    <t>ZEN-18386</t>
  </si>
  <si>
    <t>HYUNDAI H1</t>
  </si>
  <si>
    <t>ZEN-18068</t>
  </si>
  <si>
    <t>ZEN-18127</t>
  </si>
  <si>
    <t>KIA PICANTO MODERNO</t>
  </si>
  <si>
    <t>MAX IMPORTACIONE</t>
  </si>
  <si>
    <t>MAX IMPORTYACIONES</t>
  </si>
  <si>
    <t>MARGUEN DE UTILIDADA</t>
  </si>
  <si>
    <t>GRUPO CAMACHO</t>
  </si>
  <si>
    <t>ZM-1842</t>
  </si>
  <si>
    <t>SS-1686</t>
  </si>
  <si>
    <t>ZM-613</t>
  </si>
  <si>
    <t>ZM-536</t>
  </si>
  <si>
    <t>ZM-3639</t>
  </si>
  <si>
    <t>ZM-376</t>
  </si>
  <si>
    <t>ZM-571</t>
  </si>
  <si>
    <t>ZM-842</t>
  </si>
  <si>
    <t>MITSUBISHI FUSO FML6  , FKL6</t>
  </si>
  <si>
    <t>TOYOTA PROBOX, COROLLA CON CONECTOR</t>
  </si>
  <si>
    <t>PERKINS LUCAS TAPA BAJA EMBOLO CUADRADO</t>
  </si>
  <si>
    <t>PERKINS BOSCH PUNTA DE FIERRO 24V</t>
  </si>
  <si>
    <t>SCANIA R380-R480, MODERNO 24V</t>
  </si>
  <si>
    <t>VOLKSWAGEN GOL, PASSAT</t>
  </si>
  <si>
    <t>CITROEN JUMPER, PEUGEOT 205-306-405-406-PARTNER</t>
  </si>
  <si>
    <t>MERCEDES ACTROS CON MOTOR O500 ANT 24V</t>
  </si>
  <si>
    <t>ZM-96.012.02</t>
  </si>
  <si>
    <t>ZM-96.012.18</t>
  </si>
  <si>
    <t>ZM-96.012.85</t>
  </si>
  <si>
    <t>HYUNDAI KIA CARENTS SPORTAGE</t>
  </si>
  <si>
    <t>1.346/4</t>
  </si>
  <si>
    <t xml:space="preserve">HYUNDAI H100 ALTO </t>
  </si>
  <si>
    <t xml:space="preserve">NISSAN Versa/RENAULT Logan, Sandero/MITSUBISHI outlander </t>
  </si>
  <si>
    <t>PORTADIODO</t>
  </si>
  <si>
    <t>RM-161HV</t>
  </si>
  <si>
    <t>R-0132</t>
  </si>
  <si>
    <t>ZEN-1.01.0617.0</t>
  </si>
  <si>
    <t>RM-191H</t>
  </si>
  <si>
    <t>BRH-179</t>
  </si>
  <si>
    <t>CHINOS</t>
  </si>
  <si>
    <t>1260J200</t>
  </si>
  <si>
    <t>NISSAN P/CORTO</t>
  </si>
  <si>
    <t>05-112</t>
  </si>
  <si>
    <t>05-054</t>
  </si>
  <si>
    <t>IM362</t>
  </si>
  <si>
    <t>IM476</t>
  </si>
  <si>
    <t>06-081</t>
  </si>
  <si>
    <t>IN439</t>
  </si>
  <si>
    <t>H1, H100</t>
  </si>
  <si>
    <t>NT088-8</t>
  </si>
  <si>
    <t>ZEN-1872</t>
  </si>
  <si>
    <t>M105R3172SE</t>
  </si>
  <si>
    <t>ARRANCADOR HOWO 24 VOLTIOS</t>
  </si>
  <si>
    <t>M9T82171</t>
  </si>
  <si>
    <t>14T</t>
  </si>
  <si>
    <t>39MT</t>
  </si>
  <si>
    <t>8t</t>
  </si>
  <si>
    <t>yuchai2</t>
  </si>
  <si>
    <t>10T</t>
  </si>
  <si>
    <t>S12-3708110BA</t>
  </si>
  <si>
    <t>9T</t>
  </si>
  <si>
    <t>3708100-E01-00</t>
  </si>
  <si>
    <t>513R-3708950-01</t>
  </si>
  <si>
    <t xml:space="preserve">GLORY VALEO </t>
  </si>
  <si>
    <t>YP-ALT-131</t>
  </si>
  <si>
    <t>NISSAN QG 18 PERNO ARRIBA</t>
  </si>
  <si>
    <t>YP-ALT-22</t>
  </si>
  <si>
    <t>ARRANCADOR 2ZR JON PEDIDO</t>
  </si>
  <si>
    <t>KIA H100  7PK</t>
  </si>
  <si>
    <t>8T</t>
  </si>
  <si>
    <t>CHEVROLET SPIN PRISMA</t>
  </si>
  <si>
    <t>11T</t>
  </si>
  <si>
    <t>BZM-1706</t>
  </si>
  <si>
    <t>HYUNDAI I20/I30,KIA SOUL</t>
  </si>
  <si>
    <t>IHR746</t>
  </si>
  <si>
    <t>NISSAN GA 4DIODOS</t>
  </si>
  <si>
    <t xml:space="preserve">IH737 NISSAN GA </t>
  </si>
  <si>
    <t>NISSAN ALMERA/ MITSUBISHI</t>
  </si>
  <si>
    <t xml:space="preserve">HYUNDAI H1 STAREX </t>
  </si>
  <si>
    <t>ZM-4491</t>
  </si>
  <si>
    <t>HYUNDAI H1,PORTER STAREX</t>
  </si>
  <si>
    <t>ZM-861</t>
  </si>
  <si>
    <t>DAEWOO/CHEVROLET CAVALIER PERNO COSTADO 12V</t>
  </si>
  <si>
    <t>ZM-4897</t>
  </si>
  <si>
    <t>VOLVO FM12, FH12 BUS 24V</t>
  </si>
  <si>
    <t>VOLVO TRUCKS, FM, FH 24V</t>
  </si>
  <si>
    <t>ZM-3897</t>
  </si>
  <si>
    <t>NISSAN SENTRA 12V 70AMP. (GA 15,16DE)</t>
  </si>
  <si>
    <t>VT-SG-133E</t>
  </si>
  <si>
    <t>134e voltec</t>
  </si>
  <si>
    <t>ZNP-18228</t>
  </si>
  <si>
    <t>ZEN-155</t>
  </si>
  <si>
    <t>PERKINS LUCAS 10T</t>
  </si>
  <si>
    <t>VT-SG-131E</t>
  </si>
  <si>
    <t>VT-SG-173E</t>
  </si>
  <si>
    <t>VT-SG-123E</t>
  </si>
  <si>
    <t>13T</t>
  </si>
  <si>
    <t>VT-SG-168E</t>
  </si>
  <si>
    <t>VT-SG-170E</t>
  </si>
  <si>
    <t>VT-SP-126E</t>
  </si>
  <si>
    <t>VT-SP-104P</t>
  </si>
  <si>
    <t>KIA BONGO K2700</t>
  </si>
  <si>
    <t>VT-AG-105E</t>
  </si>
  <si>
    <t>TOYOTA 4A GEELY 5PK</t>
  </si>
  <si>
    <t>YP-ARM-35</t>
  </si>
  <si>
    <t>arnadura chevy grande</t>
  </si>
  <si>
    <t>YP-ARM-100 VEHICULO CHINO VARIOS 12V L: 107.5 mm OD: 44.2 mm T: 7 SLOTS: 23</t>
  </si>
  <si>
    <t>YP-ARM-154 HYUNDAI GRAN I10 12V L: 93 mm OD: 48 mm T: 8 SLOTS: 2</t>
  </si>
  <si>
    <t>YP-ARM-157</t>
  </si>
  <si>
    <t>VW BORA 12V L: 123 mm OD: 55 mm T: 14 Delgas: 28</t>
  </si>
  <si>
    <t>RENAULT LOGAN, CLIO 12V L: 156 mm OD: 53.8 mm T: 8 Delgas: 2</t>
  </si>
  <si>
    <t>YP-ARM-159</t>
  </si>
  <si>
    <t>YP-ARM-152 KIA, DAEWOO 12V L: 178.5 mm OD: 58.5 mm T: 12 SLOTS: 29</t>
  </si>
  <si>
    <t>YP-ARM-150 39MT 12V L: 197.3 mm OD: 76.2 mm T: 20 SLOTS: 2</t>
  </si>
  <si>
    <t>YP-ARM-149</t>
  </si>
  <si>
    <t>39MT - CAT CUMMIS 24V(ST-78) L: 197.3 mm OD: 76.2 mm T: 20 SLOTS: 2</t>
  </si>
  <si>
    <t>YP-ARM-130 HYUNDAI, KIA 12V L: 175 mm OD: 58.2 mm T: 8 SLOTS: 29</t>
  </si>
  <si>
    <t>YP-ARM-106 TOYOTA ETIOS, YARIS 12V L: 97.8 mm OD: 48 mm T: 7 SLOTS: 25</t>
  </si>
  <si>
    <t>YP-ARM-98 VEHICULO CHINO VARIOS 12V L: 100.7 mm OD: 44.2 mm T: 8 SLOTS: 23</t>
  </si>
  <si>
    <t>BZM-519</t>
  </si>
  <si>
    <t>NISSAN CUERPO MIT</t>
  </si>
  <si>
    <t>OE:7416</t>
  </si>
  <si>
    <t>YP-VR-93</t>
  </si>
  <si>
    <t>TOYOTA 2L,2C PETROLERO 12V.</t>
  </si>
  <si>
    <t>ZEN 1808</t>
  </si>
  <si>
    <t>MERCEDEZ</t>
  </si>
  <si>
    <t>ZM-3842</t>
  </si>
  <si>
    <t>VOLVO, HYUNDAI 15TON 24V</t>
  </si>
  <si>
    <t>MAX</t>
  </si>
  <si>
    <t>220  ?</t>
  </si>
  <si>
    <t xml:space="preserve">NIO ESTA </t>
  </si>
  <si>
    <t>BZM-1778</t>
  </si>
  <si>
    <t>EXCEL (450)</t>
  </si>
  <si>
    <t>ZEN-1912</t>
  </si>
  <si>
    <t>HYUNDAI HB20 1912 10T</t>
  </si>
  <si>
    <t>ZM-1840</t>
  </si>
  <si>
    <t xml:space="preserve">TOYOTA PROBOX </t>
  </si>
  <si>
    <t>KIA RIO, HYUNDAI I10 BENDIX BAJO</t>
  </si>
  <si>
    <t>VT-AG-108E</t>
  </si>
  <si>
    <t xml:space="preserve">TOYOTA 18R 20R 12V </t>
  </si>
  <si>
    <t>VT-AG-132E</t>
  </si>
  <si>
    <t>SUZUKI GRAND VITARA GRAND NOMADE 12V</t>
  </si>
  <si>
    <t>VT-AP-104E</t>
  </si>
  <si>
    <t>TOYOTA 1GD 2GD DENSO 12V</t>
  </si>
  <si>
    <t>VT-AP-114P</t>
  </si>
  <si>
    <t>TOYOTA PICKUP 2L C/B C/RELAY INCORPORADO 12V (VOLTEC PREMIUM)</t>
  </si>
  <si>
    <t>RENAULT LOGAN SANDERO 12V</t>
  </si>
  <si>
    <t>VT-SG-139E</t>
  </si>
  <si>
    <t>VT-SG-135E</t>
  </si>
  <si>
    <t>YP-VR-64</t>
  </si>
  <si>
    <t>PERKIN LUCAS</t>
  </si>
  <si>
    <t>QUIJA 60</t>
  </si>
  <si>
    <t>ZM-9601007</t>
  </si>
  <si>
    <t>NISSAN QUASHKAI TIIDA</t>
  </si>
  <si>
    <t>carbones 376 krug</t>
  </si>
  <si>
    <t>2.224/2</t>
  </si>
  <si>
    <t>PORTA CARBON DE ALTERNADOR TOYOTA HILUX 2KD</t>
  </si>
  <si>
    <t>N/N</t>
  </si>
  <si>
    <t>JAC MODERNO</t>
  </si>
  <si>
    <t>06-056</t>
  </si>
  <si>
    <t xml:space="preserve">H1 </t>
  </si>
  <si>
    <t>HORQUILLA DE EXCEL</t>
  </si>
  <si>
    <t>12T</t>
  </si>
  <si>
    <t>VT-SG-182E</t>
  </si>
  <si>
    <t>VT-S-280P</t>
  </si>
  <si>
    <t>VT-SG-176E</t>
  </si>
  <si>
    <t>VT-S-202E</t>
  </si>
  <si>
    <t>MAZDA 6 CX5 12V.</t>
  </si>
  <si>
    <t>VT-SP-107E</t>
  </si>
  <si>
    <t>SUZUKI ALTO</t>
  </si>
  <si>
    <t>ZM-36.010.05</t>
  </si>
  <si>
    <t>JEEP COMPASS PATRIOT</t>
  </si>
  <si>
    <t>17734N</t>
  </si>
  <si>
    <t>ZOTYE COPILOTO</t>
  </si>
  <si>
    <t>YP-ST-174 CHINO 10T</t>
  </si>
  <si>
    <t>2.248/4</t>
  </si>
  <si>
    <t>VOLVO FM 24V. (MIT.)</t>
  </si>
  <si>
    <t>solenoide td 27 chino</t>
  </si>
  <si>
    <t>R-0211</t>
  </si>
  <si>
    <t>HYUNDAI HB20,I20. KIA RIO</t>
  </si>
  <si>
    <t>arrancador toyota 2c ch mediano y super</t>
  </si>
  <si>
    <t>victory chino</t>
  </si>
  <si>
    <t>n/N</t>
  </si>
  <si>
    <t>SS-1535</t>
  </si>
  <si>
    <t>HYUNDAI,MITSUBISHI,NISSAN.</t>
  </si>
  <si>
    <t>YP-ST-159</t>
  </si>
  <si>
    <t xml:space="preserve">SUZUKI SWIFT, ALTO K10 </t>
  </si>
  <si>
    <t>YP-ST-215</t>
  </si>
  <si>
    <t>YP-ST-219</t>
  </si>
  <si>
    <t>YP-ST-225</t>
  </si>
  <si>
    <t>HAFEI JUNYI ,KEYTON FJ6</t>
  </si>
  <si>
    <t>YP-ST-228</t>
  </si>
  <si>
    <t>DATE No:SL2025007</t>
  </si>
  <si>
    <t>TORQX. Part  No:61001266</t>
  </si>
  <si>
    <t>HYUNDAI ACCENT MOD.</t>
  </si>
  <si>
    <t>IN220</t>
  </si>
  <si>
    <t>MIA9002</t>
  </si>
  <si>
    <t xml:space="preserve">SONATA </t>
  </si>
  <si>
    <t>ZM-9600302</t>
  </si>
  <si>
    <t>VOLVO FORD</t>
  </si>
  <si>
    <t xml:space="preserve">DONG FENG GAS </t>
  </si>
  <si>
    <t>TD27 CH</t>
  </si>
  <si>
    <t xml:space="preserve">CHANGAN </t>
  </si>
  <si>
    <t>SUZUKI CH</t>
  </si>
  <si>
    <t>CHEVY C/CONECTOR</t>
  </si>
  <si>
    <t>HYUNDAI I10 P/PLANO</t>
  </si>
  <si>
    <t>F70 E/FIJO</t>
  </si>
  <si>
    <t>DONG FENG S30 CHINO</t>
  </si>
  <si>
    <t>ACCENT 2023</t>
  </si>
  <si>
    <t>2KD DOLIN</t>
  </si>
  <si>
    <t>KIA RIO  2</t>
  </si>
  <si>
    <t>CHEVY</t>
  </si>
  <si>
    <t xml:space="preserve">ALTERNADOR </t>
  </si>
  <si>
    <t>bzm 1532</t>
  </si>
  <si>
    <t>nissan cuerpo hitachi</t>
  </si>
  <si>
    <t>BENDIX KIA PICANTO MOD. 10T</t>
  </si>
  <si>
    <t>MAX IMPOTACIONES</t>
  </si>
  <si>
    <t xml:space="preserve">KIA PICANTO,GRAN I10 </t>
  </si>
  <si>
    <t>YP-ST-09</t>
  </si>
  <si>
    <t>YP-ALT-21</t>
  </si>
  <si>
    <t>TOYOTA 2KD. 90AMP</t>
  </si>
  <si>
    <t>YP-ARM-154</t>
  </si>
  <si>
    <t>HYUNDAI GRAND I10</t>
  </si>
  <si>
    <t>39MT, 24V.</t>
  </si>
  <si>
    <t>NISSAN TD 27 12V. 70AMP.</t>
  </si>
  <si>
    <t>YP-ALT-153</t>
  </si>
  <si>
    <t>SUZUKI GRAND VITARA ,SWIFT 12V ,80AMP 5PK 4P</t>
  </si>
  <si>
    <t>YP-ST-508</t>
  </si>
  <si>
    <t>TOYOTA RAV 4 VALEO(3S 1AZ 2AZ)</t>
  </si>
  <si>
    <t>MITSUBISHI LANCER L/C, BYD F3 12V CHANGAN GRAN TURISMO</t>
  </si>
  <si>
    <t>YP-ST-143</t>
  </si>
  <si>
    <t>YP-ST-221</t>
  </si>
  <si>
    <t>YP-ST-223</t>
  </si>
  <si>
    <t>benbdix 450</t>
  </si>
  <si>
    <t>regulador h1</t>
  </si>
  <si>
    <t>bzm 1761 changan</t>
  </si>
  <si>
    <t>montacarga</t>
  </si>
  <si>
    <t>h20</t>
  </si>
  <si>
    <t xml:space="preserve">solenoide exterior </t>
  </si>
  <si>
    <t>19565znp/1781</t>
  </si>
  <si>
    <t>jac 10t</t>
  </si>
  <si>
    <t>2760-0L020</t>
  </si>
  <si>
    <t>TOYOTA HILUX 1KD,2KD 80AMP</t>
  </si>
  <si>
    <t>37300-42353</t>
  </si>
  <si>
    <t>CHEVROLET PRISMA LENSA</t>
  </si>
  <si>
    <t>JAC J2, J3 NUEVO 4G13/4G15</t>
  </si>
  <si>
    <t>VT-SP-173P</t>
  </si>
  <si>
    <t>VT-SG-208E</t>
  </si>
  <si>
    <t>VT-SG-155E</t>
  </si>
  <si>
    <t>VT-S-281E</t>
  </si>
  <si>
    <t>HONDA ACORD, CIVIC</t>
  </si>
  <si>
    <t>TOYOTA RAV4, CELICA AVENSIS</t>
  </si>
  <si>
    <t>T9T</t>
  </si>
  <si>
    <t>HYUNDAI TUCSON MOD SOUL</t>
  </si>
  <si>
    <t>HYUNDAI SANTA FE ZOTY E PILOTO</t>
  </si>
  <si>
    <t xml:space="preserve">TOYOTA 2KD </t>
  </si>
  <si>
    <t>ARRANCADOR 1KD 2KD</t>
  </si>
  <si>
    <r>
      <t>NISSAN VERSA KICK</t>
    </r>
    <r>
      <rPr>
        <u/>
        <sz val="11"/>
        <color theme="1"/>
        <rFont val="Trebuchet MS"/>
        <family val="2"/>
        <scheme val="minor"/>
      </rPr>
      <t>S</t>
    </r>
  </si>
  <si>
    <t>MIRA COST.</t>
  </si>
  <si>
    <t>TOYOTA 2L</t>
  </si>
  <si>
    <t>carbone 173/174</t>
  </si>
  <si>
    <t>nissaaan td27</t>
  </si>
  <si>
    <t>alternador chevy taxi</t>
  </si>
  <si>
    <t>TUCSON C/CONECTOR</t>
  </si>
  <si>
    <t>1232A</t>
  </si>
  <si>
    <t>ZM-866</t>
  </si>
  <si>
    <t>WNX-024</t>
  </si>
  <si>
    <t>CARBONES DE VENTILADOR</t>
  </si>
  <si>
    <t>MD350608</t>
  </si>
  <si>
    <t>MITSUBISHI TRITON L200</t>
  </si>
  <si>
    <t>BENDIX BZM-99.1157.0 IVECO / NEW HOLLAND – 11T</t>
  </si>
  <si>
    <t>zm-1825 pedir a max</t>
  </si>
  <si>
    <t>RM-45</t>
  </si>
  <si>
    <t>ZEN-1848</t>
  </si>
  <si>
    <t>CHEVROLET SAIL 9T</t>
  </si>
  <si>
    <t>ZEN-1800</t>
  </si>
  <si>
    <t>HYUNDAI SANTA FE KIA OPTIMA 8T</t>
  </si>
  <si>
    <t>NISSAN QG</t>
  </si>
  <si>
    <t>VT-A-153</t>
  </si>
  <si>
    <t>NISSAN CD20, TD27 CHICO</t>
  </si>
  <si>
    <t>VT-A-197</t>
  </si>
  <si>
    <t>ARMADURA NISSAN Z20</t>
  </si>
  <si>
    <t>VT-A-111</t>
  </si>
  <si>
    <t>ARMADURA NISSAN TD27 MEDIANO</t>
  </si>
  <si>
    <t>VT-A-108</t>
  </si>
  <si>
    <t>ARMADURA TD27 GRANDE</t>
  </si>
  <si>
    <t>VT-A-105</t>
  </si>
  <si>
    <t>NISSAN NAVARA YD22 YD25</t>
  </si>
  <si>
    <t>VT-A-131</t>
  </si>
  <si>
    <t>NISSAN PATHFINDER</t>
  </si>
  <si>
    <t>VT-A-126</t>
  </si>
  <si>
    <t>VT-A-130</t>
  </si>
  <si>
    <t>MITSUBISHI DAKAR L200</t>
  </si>
  <si>
    <t>VT-A-113</t>
  </si>
  <si>
    <t xml:space="preserve">TOYOTA 2L 3L </t>
  </si>
  <si>
    <t>VT-A-184</t>
  </si>
  <si>
    <t>DELCO 38MT 12V.</t>
  </si>
  <si>
    <t>VT-A-189</t>
  </si>
  <si>
    <t>VT-A-190</t>
  </si>
  <si>
    <t>FIAT FIORINO 12V.</t>
  </si>
  <si>
    <t>VT-A-150</t>
  </si>
  <si>
    <t xml:space="preserve">VOLKSWAGEN WORKER PRESTOLITE </t>
  </si>
  <si>
    <t>SF9007</t>
  </si>
  <si>
    <t>PERKINS ISKRA CHICO</t>
  </si>
  <si>
    <t>SF6017S</t>
  </si>
  <si>
    <t>TOYOTA GRANDE 2C 2KD</t>
  </si>
  <si>
    <t>SF6031S</t>
  </si>
  <si>
    <t>VT-S-265E</t>
  </si>
  <si>
    <t>VT-SP-102E</t>
  </si>
  <si>
    <t xml:space="preserve">HILUX 1KD 2KD GRANDE </t>
  </si>
  <si>
    <t>VT-AP-103E</t>
  </si>
  <si>
    <t xml:space="preserve">ZM-381 </t>
  </si>
  <si>
    <t>VOLKSWAGEN GOLF-JETTA-PASSAT-POLO ENCHUFE REDONDO</t>
  </si>
  <si>
    <t>IH737</t>
  </si>
  <si>
    <t>NISSAN ALMERA QG15-QG18</t>
  </si>
  <si>
    <t>IH744</t>
  </si>
  <si>
    <t>HITACHI/SUBARU/ISUZU 12V.</t>
  </si>
  <si>
    <t>HYUNDAI SANTA FE, GENESIS COUPE-KIA OPTIMA</t>
  </si>
  <si>
    <t xml:space="preserve">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</si>
  <si>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</si>
  <si>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</si>
  <si>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YP-SOL-166</t>
  </si>
  <si>
    <t>CD CHINO EMBOLO REDONDO</t>
  </si>
  <si>
    <t>FAW 12V</t>
  </si>
  <si>
    <t>3708010-31K/B</t>
  </si>
  <si>
    <t>HONDA VERDE 102MM</t>
  </si>
  <si>
    <t>31200-PE1-671</t>
  </si>
  <si>
    <t>ZM-531</t>
  </si>
  <si>
    <t xml:space="preserve">GRAN I10 LUCAS </t>
  </si>
  <si>
    <t>OE:25249593</t>
  </si>
  <si>
    <t>+</t>
  </si>
  <si>
    <t>1.161/4</t>
  </si>
  <si>
    <t>hyundai h1</t>
  </si>
  <si>
    <t>42T</t>
  </si>
  <si>
    <t xml:space="preserve">dejo muy caro candado esta p.c. 108 soles </t>
  </si>
  <si>
    <t>HYUDAI VERSA</t>
  </si>
  <si>
    <t>ZM-8492</t>
  </si>
  <si>
    <t>QDY127</t>
  </si>
  <si>
    <t>CHINO CHANGUE 8T</t>
  </si>
  <si>
    <t>DAEWWO MAGNUS,NUBIRA</t>
  </si>
  <si>
    <t>33268N</t>
  </si>
  <si>
    <t>BZM-99.1911.0</t>
  </si>
  <si>
    <t>PRISMA</t>
  </si>
  <si>
    <t>HUNDAY NISSAN</t>
  </si>
  <si>
    <t>ZM-96.008.02</t>
  </si>
  <si>
    <t>NISSAN FRONTIER ZD30</t>
  </si>
  <si>
    <t>GM1480034</t>
  </si>
  <si>
    <t>BZM-1791</t>
  </si>
  <si>
    <t>TOYOTA COROLLA ENCHUFE REDONDO (VRH2005-4A)</t>
  </si>
  <si>
    <t>VRH2005-4A</t>
  </si>
  <si>
    <t>GYR</t>
  </si>
  <si>
    <t>TOYOTA 4A ENCHUFE REDONDO</t>
  </si>
  <si>
    <t>HYUNDAI SANTA FE CON PIÑON</t>
  </si>
  <si>
    <t>HXO73-4</t>
  </si>
  <si>
    <t>YP-ST-11</t>
  </si>
  <si>
    <t>YP-ST-31</t>
  </si>
  <si>
    <t>AL-S063</t>
  </si>
  <si>
    <t>VT-SG-187P</t>
  </si>
  <si>
    <t>VT-SP-</t>
  </si>
  <si>
    <t>VT-SG-187E</t>
  </si>
  <si>
    <t>GREAT WALL (MOTOR ISUZU PIÑON 32)</t>
  </si>
  <si>
    <t>YP-ST-174</t>
  </si>
  <si>
    <t>DFSK GLORY C37 DK15</t>
  </si>
  <si>
    <t>YP-ST-207</t>
  </si>
  <si>
    <t>TOYOTA COROLLA 2011/13</t>
  </si>
  <si>
    <t>YP-ST-217</t>
  </si>
  <si>
    <t>NISAN J18</t>
  </si>
  <si>
    <t>HYUNDAY SONATA PILOTO TAPA ALTA</t>
  </si>
  <si>
    <t>DK15</t>
  </si>
  <si>
    <t>HYUNDAI HI CAJA PLOMO</t>
  </si>
  <si>
    <t>ZEN-1781</t>
  </si>
  <si>
    <t>ZEN-1761</t>
  </si>
  <si>
    <t>MAZDA /CHEVROLET/NISSAN</t>
  </si>
  <si>
    <t>VT-AG-128E</t>
  </si>
  <si>
    <t>NISSAN VERSA</t>
  </si>
  <si>
    <t>VT-A-263E</t>
  </si>
  <si>
    <t>TOYOTA PROBOX 1NZ,2NZ 4 PINES</t>
  </si>
  <si>
    <t>VT-AP-180P</t>
  </si>
  <si>
    <t>H1,H100</t>
  </si>
  <si>
    <t>MIT 12V</t>
  </si>
  <si>
    <t>VT-SG-127E</t>
  </si>
  <si>
    <t>VT-SP-183E</t>
  </si>
  <si>
    <t>VT-SP-101P</t>
  </si>
  <si>
    <t>TOYOTA 2C CHICO NUEVO</t>
  </si>
  <si>
    <t>NQD-8301</t>
  </si>
  <si>
    <t>JAC MIT MOD 12V</t>
  </si>
  <si>
    <t>QDY1288</t>
  </si>
  <si>
    <t>09-037HN</t>
  </si>
  <si>
    <t>DFSK C37 MINIVAN</t>
  </si>
  <si>
    <t>HYUNDAI ACCENT/KIA RIO T/ALTA</t>
  </si>
  <si>
    <t>HYUNDAI I20,KIA RIO 2017</t>
  </si>
  <si>
    <t>DFSK C3O,C50</t>
  </si>
  <si>
    <t>JAC AUTO J3,J5 (MIT MOD</t>
  </si>
  <si>
    <t>MAZDA 323</t>
  </si>
  <si>
    <t>NISAN KICKS VERSA</t>
  </si>
  <si>
    <t>TOYOTA4E,5E</t>
  </si>
  <si>
    <t>DAEWOO MAGNUS NUBIRA</t>
  </si>
  <si>
    <t>AL-ST144</t>
  </si>
  <si>
    <t>HYUNDAI SANTA FE AUTOMATICO PIL</t>
  </si>
  <si>
    <t>NISSAN GA 15 TAPA CORTA</t>
  </si>
  <si>
    <t>VOLWGEN METROPOLITANO</t>
  </si>
  <si>
    <t>DONGFENG SUZUKI GRANDE</t>
  </si>
  <si>
    <t>ISUZU FOTON PIÑON 32</t>
  </si>
  <si>
    <t>N200 300</t>
  </si>
  <si>
    <t>KIA RIO LADO COPILOTO</t>
  </si>
  <si>
    <t>DAEWOO CIELO RACER</t>
  </si>
  <si>
    <t>CHEVROLET SPARCK TICO</t>
  </si>
  <si>
    <t>HYUNDAI TUCSON GASOLINERO</t>
  </si>
  <si>
    <t>DATSUN J15</t>
  </si>
  <si>
    <t>GREAT WALL/JIMBEI HAICE</t>
  </si>
  <si>
    <t>RENAULT CANGO CLIO LOGAN</t>
  </si>
  <si>
    <t>TOYOTA COROLA 2C CHICO</t>
  </si>
  <si>
    <t>TERCEL 2E</t>
  </si>
  <si>
    <t>NISSAN K25 INDUSTRIAL</t>
  </si>
  <si>
    <t>HYUNDAI I10,I20</t>
  </si>
  <si>
    <t xml:space="preserve">JAC REFINE </t>
  </si>
  <si>
    <t>TOYOTA ETIOS</t>
  </si>
  <si>
    <t>HIONDA CIVIC VALEO</t>
  </si>
  <si>
    <t>KUBOTA TIPO DENSO</t>
  </si>
  <si>
    <t>CHEVROLET CRUZE</t>
  </si>
  <si>
    <t>VW GOL</t>
  </si>
  <si>
    <t>BYD F3 (DELCO)</t>
  </si>
  <si>
    <t>FAW V60</t>
  </si>
  <si>
    <t>NISAN VERSA</t>
  </si>
  <si>
    <t>HYUNDAI ACCANT KIA RIO/ PICANTO</t>
  </si>
  <si>
    <t>KIA SOUL/HYUNDAI ELANTRA</t>
  </si>
  <si>
    <t>SUZUKI GRAND NOMADE</t>
  </si>
  <si>
    <t>GRAT WALL VOLEX</t>
  </si>
  <si>
    <t>JAC INCAPAWER COPILOTO 24V</t>
  </si>
  <si>
    <t>JAC INCA PAWER, YEUYIN 12V</t>
  </si>
  <si>
    <t>JAC,INCA PAWER,YEUYIN PILOTO 24V</t>
  </si>
  <si>
    <t>L200 TAPA BAJA (EXCENTRICO)</t>
  </si>
  <si>
    <t>3L,5L</t>
  </si>
  <si>
    <t>PERKINGS NIPODENSO</t>
  </si>
  <si>
    <t>ISUZU 4BJ1 24V</t>
  </si>
  <si>
    <t>CITROEN,PEUGEOT</t>
  </si>
  <si>
    <t>FOTON VIEW ISUZU</t>
  </si>
  <si>
    <t>MAHINDRA ESCORPIO</t>
  </si>
  <si>
    <t xml:space="preserve">MITSIBISHI CANTER 24V </t>
  </si>
  <si>
    <t xml:space="preserve">BOSCH 1GD </t>
  </si>
  <si>
    <t>FIAT PALIO, FIORINO</t>
  </si>
  <si>
    <t>NISSAN MARCH</t>
  </si>
  <si>
    <t>VOLKSWAGEN PO GOLF IV 12V</t>
  </si>
  <si>
    <t>BYD F3 473Q 12V</t>
  </si>
  <si>
    <t xml:space="preserve">BYD F3 12V </t>
  </si>
  <si>
    <t>HYUNDAI TUCSO KIA SORENTO 12V</t>
  </si>
  <si>
    <t>DAEWOO DAMAS DENSO 12V</t>
  </si>
  <si>
    <t>HYUNDAY ACCENT MODERNO 12V</t>
  </si>
  <si>
    <t>CHEVROLET N200,N300 12V</t>
  </si>
  <si>
    <t>NISSAN VERSA KICKS</t>
  </si>
  <si>
    <t>HYUNDAI SONATA MECANICO PILOTO 12V</t>
  </si>
  <si>
    <t>YUNDAY EXCEL   12V</t>
  </si>
  <si>
    <t xml:space="preserve">NISSAN TILDA 12V </t>
  </si>
  <si>
    <t xml:space="preserve"> JEEP COMPASS D0DGE NITRO 12V </t>
  </si>
  <si>
    <t xml:space="preserve"> NISSAN  SONATITA SANTA  TAPA ALTA 12V</t>
  </si>
  <si>
    <t xml:space="preserve">CHANGAN LIFAN GEELY  12V </t>
  </si>
  <si>
    <t>T0Y0TA YARIS PROBOX 12V</t>
  </si>
  <si>
    <t xml:space="preserve">TOYOTA CORONA 3Y 3Y  12V </t>
  </si>
  <si>
    <t xml:space="preserve">HONDA ACCORD CIVIC 12V </t>
  </si>
  <si>
    <t>CHEVROLET AVEO  CHEVY TAXI  DAWEWOO</t>
  </si>
  <si>
    <t>DAEWOO  RACER 12V</t>
  </si>
  <si>
    <t xml:space="preserve"> HYUNDAY ACCENT EXCEL KIA SERATO  PILOTO TAPA ALTA </t>
  </si>
  <si>
    <t xml:space="preserve">CHEVROLET SAIL 12V </t>
  </si>
  <si>
    <t>NISSAN TD25 TD27 9T</t>
  </si>
  <si>
    <t>fALTA</t>
  </si>
  <si>
    <t xml:space="preserve"> foton petrolero no tenemos</t>
  </si>
  <si>
    <t>TOYOTA 2C GRANDE 12</t>
  </si>
  <si>
    <t xml:space="preserve">TOYOTA 3L 5L 12V </t>
  </si>
  <si>
    <t>MITSUBISHI LANCER 12V</t>
  </si>
  <si>
    <t>7T</t>
  </si>
  <si>
    <t>SP6004</t>
  </si>
  <si>
    <t>HYUNDAY</t>
  </si>
  <si>
    <t>ls-17136</t>
  </si>
  <si>
    <t>KIA RIO VELOSTER 3S lensa</t>
  </si>
  <si>
    <t>f</t>
  </si>
  <si>
    <t>ALTERNADOR HX140 KIA K2700 VACIO GRANDE 12V 60A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</si>
</sst>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S/&quot;\ * #,##0.00_-;\-&quot;S/&quot;\ * #,##0.00_-;_-&quot;S/&quot;\ * &quot;-&quot;??_-;_-@_-"/>
    <numFmt numFmtId="164" formatCode="_-[$S/-280A]\ * #,##0.00_-;\-[$S/-280A]\ * #,##0.00_-;_-[$S/-280A]\ * &quot;-&quot;??_-;_-@_-"/>
    <numFmt numFmtId="165" formatCode="&quot; &quot;[$S/-280A]&quot; &quot;#,##0.00&quot; &quot;;&quot;-&quot;[$S/-280A]&quot; &quot;#,##0.00&quot; &quot;;&quot; &quot;[$S/-280A]&quot; -&quot;00&quot; &quot;;&quot; &quot;@&quot; &quot;"/>
    <numFmt numFmtId="166" formatCode="_-&quot;S/&quot;\ * #,##0_-;\-&quot;S/&quot;\ * #,##0_-;_-&quot;S/&quot;\ * &quot;-&quot;??_-;_-@_-"/>
  </numFmts>
  <fonts count="12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sz val="11"/>
      <name val="Trebuchet MS"/>
      <family val="2"/>
      <scheme val="minor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11"/>
      <color theme="1"/>
      <name val="Trebuchet MS"/>
      <family val="2"/>
      <scheme val="minor"/>
    </font>
    <font>
      <u/>
      <sz val="11"/>
      <color theme="1"/>
      <name val="Trebuchet MS"/>
      <family val="2"/>
      <scheme val="minor"/>
    </font>
    <font>
      <b/>
      <sz val="9"/>
      <color rgb="FF000000"/>
      <name val="Arial"/>
      <family val="2"/>
    </font>
    <font>
      <b/>
      <i/>
      <sz val="11"/>
      <color theme="1"/>
      <name val="Trebuchet MS"/>
      <family val="2"/>
      <scheme val="minor"/>
    </font>
    <font>
      <b/>
      <i/>
      <u val="double"/>
      <sz val="11"/>
      <color theme="1"/>
      <name val="Trebuchet MS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C000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0" fillId="2" borderId="0" xfId="0" applyFill="1"/>
    <xf numFmtId="164" fontId="0" fillId="0" borderId="0" xfId="0" applyNumberFormat="1"/>
    <xf numFmtId="9" fontId="0" fillId="0" borderId="0" xfId="0" applyNumberFormat="1"/>
    <xf numFmtId="164" fontId="0" fillId="2" borderId="0" xfId="1" applyNumberFormat="1" applyFont="1" applyFill="1" applyBorder="1"/>
    <xf numFmtId="164" fontId="0" fillId="2" borderId="0" xfId="0" applyNumberFormat="1" applyFill="1"/>
    <xf numFmtId="44" fontId="0" fillId="0" borderId="0" xfId="5" applyFont="1" applyBorder="1"/>
    <xf numFmtId="9" fontId="0" fillId="0" borderId="0" xfId="2" applyFont="1" applyBorder="1"/>
    <xf numFmtId="164" fontId="0" fillId="2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4" fillId="0" borderId="2" xfId="4" applyBorder="1"/>
    <xf numFmtId="9" fontId="4" fillId="0" borderId="2" xfId="4" applyNumberFormat="1" applyBorder="1" applyAlignment="1">
      <alignment horizontal="right"/>
    </xf>
    <xf numFmtId="0" fontId="4" fillId="4" borderId="2" xfId="4" applyFill="1" applyBorder="1"/>
    <xf numFmtId="0" fontId="4" fillId="3" borderId="2" xfId="4" applyFill="1" applyBorder="1"/>
    <xf numFmtId="9" fontId="4" fillId="0" borderId="2" xfId="4" applyNumberFormat="1" applyBorder="1"/>
    <xf numFmtId="0" fontId="0" fillId="5" borderId="1" xfId="0" applyFill="1" applyBorder="1"/>
    <xf numFmtId="0" fontId="0" fillId="2" borderId="1" xfId="0" applyFill="1" applyBorder="1"/>
    <xf numFmtId="164" fontId="0" fillId="0" borderId="1" xfId="0" applyNumberFormat="1" applyBorder="1"/>
    <xf numFmtId="164" fontId="1" fillId="5" borderId="0" xfId="2" applyNumberFormat="1" applyFill="1" applyBorder="1"/>
    <xf numFmtId="164" fontId="0" fillId="2" borderId="1" xfId="0" applyNumberFormat="1" applyFill="1" applyBorder="1"/>
    <xf numFmtId="164" fontId="0" fillId="5" borderId="1" xfId="0" applyNumberFormat="1" applyFill="1" applyBorder="1"/>
    <xf numFmtId="164" fontId="0" fillId="0" borderId="0" xfId="0" applyNumberFormat="1" applyAlignment="1">
      <alignment horizontal="center"/>
    </xf>
    <xf numFmtId="0" fontId="3" fillId="2" borderId="0" xfId="0" applyFont="1" applyFill="1"/>
    <xf numFmtId="9" fontId="0" fillId="0" borderId="0" xfId="2" applyFont="1"/>
    <xf numFmtId="44" fontId="0" fillId="0" borderId="0" xfId="10" applyFont="1"/>
    <xf numFmtId="164" fontId="0" fillId="0" borderId="0" xfId="10" applyNumberFormat="1" applyFont="1"/>
    <xf numFmtId="9" fontId="0" fillId="0" borderId="1" xfId="0" applyNumberFormat="1" applyBorder="1"/>
    <xf numFmtId="44" fontId="0" fillId="0" borderId="1" xfId="10" applyFont="1" applyBorder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0" fillId="6" borderId="1" xfId="0" applyFill="1" applyBorder="1"/>
    <xf numFmtId="0" fontId="0" fillId="0" borderId="1" xfId="0" applyBorder="1" applyAlignment="1">
      <alignment horizontal="left"/>
    </xf>
    <xf numFmtId="164" fontId="0" fillId="2" borderId="1" xfId="1" applyNumberFormat="1" applyFont="1" applyFill="1" applyBorder="1"/>
    <xf numFmtId="16" fontId="0" fillId="0" borderId="1" xfId="0" applyNumberFormat="1" applyBorder="1"/>
    <xf numFmtId="164" fontId="2" fillId="2" borderId="1" xfId="0" applyNumberFormat="1" applyFont="1" applyFill="1" applyBorder="1"/>
    <xf numFmtId="164" fontId="3" fillId="2" borderId="1" xfId="0" applyNumberFormat="1" applyFont="1" applyFill="1" applyBorder="1"/>
    <xf numFmtId="0" fontId="9" fillId="0" borderId="0" xfId="0" applyFont="1" applyAlignment="1">
      <alignment vertical="center" wrapText="1"/>
    </xf>
    <xf numFmtId="0" fontId="0" fillId="0" borderId="1" xfId="10" applyNumberFormat="1" applyFont="1" applyBorder="1"/>
    <xf numFmtId="0" fontId="0" fillId="0" borderId="3" xfId="0" applyBorder="1"/>
    <xf numFmtId="0" fontId="3" fillId="8" borderId="0" xfId="0" applyFont="1" applyFill="1"/>
    <xf numFmtId="0" fontId="0" fillId="8" borderId="0" xfId="0" applyFill="1"/>
    <xf numFmtId="0" fontId="0" fillId="9" borderId="0" xfId="0" applyFill="1"/>
    <xf numFmtId="0" fontId="0" fillId="9" borderId="1" xfId="0" applyFill="1" applyBorder="1"/>
    <xf numFmtId="164" fontId="0" fillId="9" borderId="1" xfId="1" applyNumberFormat="1" applyFont="1" applyFill="1" applyBorder="1"/>
    <xf numFmtId="44" fontId="0" fillId="2" borderId="0" xfId="10" applyFont="1" applyFill="1"/>
    <xf numFmtId="0" fontId="0" fillId="10" borderId="0" xfId="0" applyFill="1"/>
    <xf numFmtId="166" fontId="0" fillId="0" borderId="0" xfId="0" applyNumberFormat="1"/>
    <xf numFmtId="9" fontId="0" fillId="2" borderId="1" xfId="0" applyNumberFormat="1" applyFill="1" applyBorder="1"/>
    <xf numFmtId="0" fontId="10" fillId="2" borderId="0" xfId="0" applyFont="1" applyFill="1"/>
    <xf numFmtId="0" fontId="11" fillId="2" borderId="0" xfId="0" applyFont="1" applyFill="1"/>
    <xf numFmtId="0" fontId="0" fillId="7" borderId="1" xfId="0" applyFill="1" applyBorder="1"/>
    <xf numFmtId="0" fontId="0" fillId="11" borderId="1" xfId="0" applyFill="1" applyBorder="1"/>
    <xf numFmtId="44" fontId="0" fillId="0" borderId="1" xfId="5" applyFont="1" applyBorder="1"/>
    <xf numFmtId="44" fontId="0" fillId="2" borderId="1" xfId="5" applyFont="1" applyFill="1" applyBorder="1"/>
    <xf numFmtId="0" fontId="0" fillId="12" borderId="1" xfId="0" applyFill="1" applyBorder="1"/>
    <xf numFmtId="164" fontId="0" fillId="12" borderId="1" xfId="0" applyNumberFormat="1" applyFill="1" applyBorder="1"/>
    <xf numFmtId="9" fontId="0" fillId="12" borderId="1" xfId="0" applyNumberFormat="1" applyFill="1" applyBorder="1"/>
  </cellXfs>
  <cellStyles count="11">
    <cellStyle name="Moneda" xfId="10" builtinId="4"/>
    <cellStyle name="Moneda 2" xfId="1" xr:uid="{63BE7CAF-D88F-43E5-8BF4-8A393B56CFB5}"/>
    <cellStyle name="Moneda 2 2" xfId="7" xr:uid="{3B2AA392-EAC6-4823-9DAD-C9E5F8F6D18C}"/>
    <cellStyle name="Moneda 3" xfId="5" xr:uid="{87C30C8A-CCA1-4F88-8B51-B2EC0AE541E8}"/>
    <cellStyle name="Moneda 3 2" xfId="8" xr:uid="{ADFD710C-B4A1-42D9-8B70-867F99DB5315}"/>
    <cellStyle name="Moneda 4" xfId="3" xr:uid="{2B1C052F-488F-4B45-9850-199220DBBB13}"/>
    <cellStyle name="Moneda 5" xfId="9" xr:uid="{F6770851-D83F-447D-907F-7E3DC5993250}"/>
    <cellStyle name="Normal" xfId="0" builtinId="0"/>
    <cellStyle name="Normal 2" xfId="4" xr:uid="{10D79E98-718B-4AC9-81FA-00FB95E16525}"/>
    <cellStyle name="Porcentaje" xfId="2" builtinId="5"/>
    <cellStyle name="Porcentaje 2" xfId="6" xr:uid="{7B407041-0D48-41FC-B0CA-A5A861DBD4FD}"/>
  </cellStyles>
  <dxfs count="6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erlín">
  <a:themeElements>
    <a:clrScheme name="Berlí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í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í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872F-B0EB-46E9-A6F1-124053837160}">
  <sheetPr filterMode="1"/>
  <dimension ref="A1:N174"/>
  <sheetViews>
    <sheetView zoomScale="85" zoomScaleNormal="85" workbookViewId="0">
      <selection activeCell="F15" sqref="F15"/>
    </sheetView>
  </sheetViews>
  <sheetFormatPr baseColWidth="10" defaultRowHeight="16.5" x14ac:dyDescent="0.3"/>
  <cols>
    <col min="1" max="1" width="11.5" style="1" customWidth="1"/>
    <col min="2" max="4" width="15" style="1" customWidth="1"/>
    <col min="5" max="5" width="11" style="1"/>
    <col min="6" max="6" width="37.375" style="1" customWidth="1"/>
    <col min="7" max="7" width="9" style="1" customWidth="1"/>
    <col min="8" max="8" width="20.875" style="1" customWidth="1"/>
    <col min="9" max="9" width="11.75" style="1" customWidth="1"/>
    <col min="10" max="10" width="21.375" style="44" customWidth="1"/>
    <col min="11" max="11" width="18.25" style="1" customWidth="1"/>
    <col min="12" max="12" width="16.25" style="1" customWidth="1"/>
    <col min="13" max="16384" width="11" style="1"/>
  </cols>
  <sheetData>
    <row r="1" spans="1:13" x14ac:dyDescent="0.3">
      <c r="A1" s="1" t="s">
        <v>496</v>
      </c>
      <c r="B1" s="33" t="s">
        <v>498</v>
      </c>
      <c r="C1" s="33" t="s">
        <v>496</v>
      </c>
      <c r="D1" s="33" t="s">
        <v>498</v>
      </c>
      <c r="E1" s="1" t="s">
        <v>499</v>
      </c>
      <c r="F1" s="1" t="s">
        <v>500</v>
      </c>
      <c r="G1" s="1" t="s">
        <v>620</v>
      </c>
      <c r="H1" s="1" t="s">
        <v>501</v>
      </c>
      <c r="I1" s="1" t="s">
        <v>502</v>
      </c>
      <c r="J1" s="44" t="s">
        <v>503</v>
      </c>
      <c r="K1" s="1" t="s">
        <v>504</v>
      </c>
      <c r="L1" s="1" t="s">
        <v>505</v>
      </c>
      <c r="M1" s="17" t="s">
        <v>506</v>
      </c>
    </row>
    <row r="2" spans="1:13" hidden="1" x14ac:dyDescent="0.3">
      <c r="E2" s="1" t="s">
        <v>588</v>
      </c>
      <c r="F2" s="1" t="s">
        <v>589</v>
      </c>
      <c r="H2" s="18">
        <v>441.52</v>
      </c>
      <c r="I2" s="27">
        <v>0.2</v>
      </c>
      <c r="J2" s="45">
        <f t="shared" ref="J2:J73" si="0">H2/(1-I2)</f>
        <v>551.9</v>
      </c>
      <c r="K2" s="18">
        <f t="shared" ref="K2:K74" si="1">J2-H2</f>
        <v>110.38</v>
      </c>
      <c r="L2" s="1" t="s">
        <v>585</v>
      </c>
      <c r="M2" s="17"/>
    </row>
    <row r="3" spans="1:13" hidden="1" x14ac:dyDescent="0.3">
      <c r="A3" s="1">
        <v>1</v>
      </c>
      <c r="E3" s="1" t="s">
        <v>1205</v>
      </c>
      <c r="F3" s="1" t="s">
        <v>1206</v>
      </c>
      <c r="G3" s="1" t="s">
        <v>1176</v>
      </c>
      <c r="H3" s="18">
        <v>324</v>
      </c>
      <c r="I3" s="27">
        <v>0.3</v>
      </c>
      <c r="J3" s="45">
        <f t="shared" si="0"/>
        <v>462.85714285714289</v>
      </c>
      <c r="K3" s="18">
        <f t="shared" si="1"/>
        <v>138.85714285714289</v>
      </c>
      <c r="L3" s="1" t="s">
        <v>585</v>
      </c>
      <c r="M3" s="17"/>
    </row>
    <row r="4" spans="1:13" s="17" customFormat="1" x14ac:dyDescent="0.3">
      <c r="E4" s="17" t="s">
        <v>592</v>
      </c>
      <c r="F4" s="17" t="s">
        <v>1560</v>
      </c>
      <c r="G4" s="17" t="s">
        <v>1161</v>
      </c>
      <c r="H4" s="20">
        <v>142</v>
      </c>
      <c r="I4" s="49">
        <v>0.3</v>
      </c>
      <c r="J4" s="34">
        <f t="shared" si="0"/>
        <v>202.85714285714286</v>
      </c>
      <c r="K4" s="20">
        <f t="shared" si="1"/>
        <v>60.857142857142861</v>
      </c>
      <c r="L4" s="17" t="s">
        <v>585</v>
      </c>
    </row>
    <row r="5" spans="1:13" s="17" customFormat="1" x14ac:dyDescent="0.3">
      <c r="E5" s="17" t="s">
        <v>1413</v>
      </c>
      <c r="F5" s="17" t="s">
        <v>589</v>
      </c>
      <c r="G5" s="17" t="s">
        <v>1163</v>
      </c>
      <c r="H5" s="20">
        <v>252</v>
      </c>
      <c r="I5" s="49">
        <v>0.3</v>
      </c>
      <c r="J5" s="34">
        <f t="shared" si="0"/>
        <v>360</v>
      </c>
      <c r="K5" s="20">
        <f t="shared" si="1"/>
        <v>108</v>
      </c>
      <c r="L5" s="17" t="s">
        <v>585</v>
      </c>
    </row>
    <row r="6" spans="1:13" s="17" customFormat="1" x14ac:dyDescent="0.3">
      <c r="A6" s="17">
        <v>2</v>
      </c>
      <c r="E6" s="17" t="s">
        <v>586</v>
      </c>
      <c r="F6" s="17" t="s">
        <v>587</v>
      </c>
      <c r="G6" s="17" t="s">
        <v>1161</v>
      </c>
      <c r="H6" s="20">
        <v>130</v>
      </c>
      <c r="I6" s="49">
        <v>0.3</v>
      </c>
      <c r="J6" s="34">
        <f t="shared" si="0"/>
        <v>185.71428571428572</v>
      </c>
      <c r="K6" s="20">
        <f t="shared" si="1"/>
        <v>55.714285714285722</v>
      </c>
      <c r="L6" s="17" t="s">
        <v>585</v>
      </c>
    </row>
    <row r="7" spans="1:13" s="17" customFormat="1" x14ac:dyDescent="0.3">
      <c r="A7" s="17">
        <v>1</v>
      </c>
      <c r="E7" s="17" t="s">
        <v>596</v>
      </c>
      <c r="F7" s="17" t="s">
        <v>1555</v>
      </c>
      <c r="G7" s="17" t="s">
        <v>1174</v>
      </c>
      <c r="H7" s="20">
        <v>119.34</v>
      </c>
      <c r="I7" s="49">
        <v>0.3</v>
      </c>
      <c r="J7" s="34">
        <f t="shared" si="0"/>
        <v>170.48571428571429</v>
      </c>
      <c r="K7" s="20">
        <f t="shared" si="1"/>
        <v>51.145714285714291</v>
      </c>
      <c r="L7" s="17" t="s">
        <v>585</v>
      </c>
    </row>
    <row r="8" spans="1:13" s="17" customFormat="1" x14ac:dyDescent="0.3">
      <c r="E8" s="17" t="s">
        <v>597</v>
      </c>
      <c r="F8" s="17" t="s">
        <v>1359</v>
      </c>
      <c r="G8" s="17" t="s">
        <v>1174</v>
      </c>
      <c r="H8" s="20">
        <v>119.34</v>
      </c>
      <c r="I8" s="49">
        <v>0.3</v>
      </c>
      <c r="J8" s="34">
        <f t="shared" si="0"/>
        <v>170.48571428571429</v>
      </c>
      <c r="K8" s="20">
        <f t="shared" si="1"/>
        <v>51.145714285714291</v>
      </c>
      <c r="L8" s="17" t="s">
        <v>585</v>
      </c>
    </row>
    <row r="9" spans="1:13" s="17" customFormat="1" ht="13.5" customHeight="1" x14ac:dyDescent="0.3">
      <c r="A9" s="17">
        <v>1</v>
      </c>
      <c r="E9" s="17" t="s">
        <v>1273</v>
      </c>
      <c r="F9" s="17" t="s">
        <v>1562</v>
      </c>
      <c r="G9" s="17" t="s">
        <v>1165</v>
      </c>
      <c r="H9" s="20">
        <v>185</v>
      </c>
      <c r="I9" s="49">
        <v>0.3</v>
      </c>
      <c r="J9" s="34">
        <f>H9/(1-I9)</f>
        <v>264.28571428571428</v>
      </c>
      <c r="K9" s="20">
        <f>J9-H9</f>
        <v>79.285714285714278</v>
      </c>
      <c r="L9" s="17" t="s">
        <v>585</v>
      </c>
    </row>
    <row r="10" spans="1:13" s="17" customFormat="1" x14ac:dyDescent="0.3">
      <c r="E10" s="17" t="s">
        <v>590</v>
      </c>
      <c r="F10" s="17" t="s">
        <v>1550</v>
      </c>
      <c r="G10" s="17" t="s">
        <v>1176</v>
      </c>
      <c r="H10" s="20">
        <v>125</v>
      </c>
      <c r="I10" s="49">
        <v>0.3</v>
      </c>
      <c r="J10" s="34">
        <f t="shared" si="0"/>
        <v>178.57142857142858</v>
      </c>
      <c r="K10" s="20">
        <f t="shared" si="1"/>
        <v>53.571428571428584</v>
      </c>
      <c r="L10" s="17" t="s">
        <v>585</v>
      </c>
      <c r="M10" s="20">
        <v>220</v>
      </c>
    </row>
    <row r="11" spans="1:13" x14ac:dyDescent="0.3">
      <c r="E11" s="17" t="s">
        <v>1486</v>
      </c>
      <c r="F11" s="17" t="s">
        <v>1362</v>
      </c>
      <c r="G11" s="1" t="s">
        <v>1165</v>
      </c>
      <c r="H11" s="20">
        <v>153</v>
      </c>
      <c r="I11" s="27">
        <v>0.3</v>
      </c>
      <c r="J11" s="45">
        <f t="shared" si="0"/>
        <v>218.57142857142858</v>
      </c>
      <c r="K11" s="18">
        <f t="shared" si="1"/>
        <v>65.571428571428584</v>
      </c>
      <c r="L11" s="1" t="s">
        <v>585</v>
      </c>
      <c r="M11" s="20"/>
    </row>
    <row r="12" spans="1:13" x14ac:dyDescent="0.3">
      <c r="A12" s="1">
        <v>3</v>
      </c>
      <c r="B12" s="32"/>
      <c r="C12" s="32"/>
      <c r="D12" s="32"/>
      <c r="E12" s="17" t="s">
        <v>1204</v>
      </c>
      <c r="F12" s="17" t="s">
        <v>1568</v>
      </c>
      <c r="G12" s="1" t="s">
        <v>1165</v>
      </c>
      <c r="H12" s="18">
        <v>246</v>
      </c>
      <c r="I12" s="27">
        <v>0.28000000000000003</v>
      </c>
      <c r="J12" s="45">
        <f t="shared" si="0"/>
        <v>341.66666666666669</v>
      </c>
      <c r="K12" s="18">
        <f t="shared" si="1"/>
        <v>95.666666666666686</v>
      </c>
      <c r="L12" s="1" t="s">
        <v>585</v>
      </c>
      <c r="M12" s="20"/>
    </row>
    <row r="13" spans="1:13" x14ac:dyDescent="0.3">
      <c r="A13" s="1">
        <v>4</v>
      </c>
      <c r="E13" s="17" t="s">
        <v>594</v>
      </c>
      <c r="F13" s="17" t="s">
        <v>1564</v>
      </c>
      <c r="G13" s="1" t="s">
        <v>1165</v>
      </c>
      <c r="H13" s="18">
        <v>126</v>
      </c>
      <c r="I13" s="27">
        <v>0.3</v>
      </c>
      <c r="J13" s="45">
        <f t="shared" si="0"/>
        <v>180</v>
      </c>
      <c r="K13" s="18">
        <f t="shared" si="1"/>
        <v>54</v>
      </c>
      <c r="L13" s="1" t="s">
        <v>585</v>
      </c>
      <c r="M13" s="20">
        <v>200</v>
      </c>
    </row>
    <row r="14" spans="1:13" x14ac:dyDescent="0.3">
      <c r="A14" s="1">
        <v>1</v>
      </c>
      <c r="E14" s="17" t="s">
        <v>1198</v>
      </c>
      <c r="F14" s="17" t="s">
        <v>1556</v>
      </c>
      <c r="G14" s="1" t="s">
        <v>1174</v>
      </c>
      <c r="H14" s="18">
        <v>148.05000000000001</v>
      </c>
      <c r="I14" s="27">
        <v>0.3</v>
      </c>
      <c r="J14" s="45">
        <f t="shared" si="0"/>
        <v>211.50000000000003</v>
      </c>
      <c r="K14" s="18">
        <f t="shared" si="1"/>
        <v>63.450000000000017</v>
      </c>
      <c r="L14" s="1" t="s">
        <v>585</v>
      </c>
      <c r="M14" s="20"/>
    </row>
    <row r="15" spans="1:13" x14ac:dyDescent="0.3">
      <c r="E15" s="17" t="s">
        <v>1487</v>
      </c>
      <c r="F15" s="17" t="s">
        <v>1488</v>
      </c>
      <c r="H15" s="20">
        <v>277</v>
      </c>
      <c r="I15" s="27">
        <v>0.3</v>
      </c>
      <c r="J15" s="45">
        <f t="shared" si="0"/>
        <v>395.71428571428572</v>
      </c>
      <c r="K15" s="18">
        <f t="shared" si="1"/>
        <v>118.71428571428572</v>
      </c>
      <c r="L15" s="1" t="s">
        <v>585</v>
      </c>
      <c r="M15" s="20"/>
    </row>
    <row r="16" spans="1:13" x14ac:dyDescent="0.3">
      <c r="E16" s="17" t="s">
        <v>1193</v>
      </c>
      <c r="F16" s="17" t="s">
        <v>1557</v>
      </c>
      <c r="G16" s="1" t="s">
        <v>1163</v>
      </c>
      <c r="H16" s="18">
        <v>133</v>
      </c>
      <c r="I16" s="27">
        <v>0.3</v>
      </c>
      <c r="J16" s="45">
        <f t="shared" si="0"/>
        <v>190</v>
      </c>
      <c r="K16" s="18">
        <f t="shared" si="1"/>
        <v>57</v>
      </c>
      <c r="L16" s="1" t="s">
        <v>585</v>
      </c>
      <c r="M16" s="20"/>
    </row>
    <row r="17" spans="1:13" x14ac:dyDescent="0.3">
      <c r="E17" s="17" t="s">
        <v>1253</v>
      </c>
      <c r="F17" s="17" t="s">
        <v>1549</v>
      </c>
      <c r="G17" s="1" t="s">
        <v>1163</v>
      </c>
      <c r="H17" s="18">
        <v>141.75</v>
      </c>
      <c r="I17" s="27">
        <v>0.3</v>
      </c>
      <c r="J17" s="45">
        <f t="shared" si="0"/>
        <v>202.5</v>
      </c>
      <c r="K17" s="18">
        <f t="shared" si="1"/>
        <v>60.75</v>
      </c>
      <c r="L17" s="1" t="s">
        <v>585</v>
      </c>
    </row>
    <row r="18" spans="1:13" x14ac:dyDescent="0.3">
      <c r="A18" s="1">
        <v>1</v>
      </c>
      <c r="E18" s="17" t="s">
        <v>1252</v>
      </c>
      <c r="F18" s="1" t="s">
        <v>1547</v>
      </c>
      <c r="G18" s="1" t="s">
        <v>1163</v>
      </c>
      <c r="H18" s="18">
        <v>173.25</v>
      </c>
      <c r="I18" s="27">
        <v>0.3</v>
      </c>
      <c r="J18" s="45">
        <f t="shared" si="0"/>
        <v>247.50000000000003</v>
      </c>
      <c r="K18" s="18">
        <f t="shared" si="1"/>
        <v>74.250000000000028</v>
      </c>
      <c r="L18" s="1" t="s">
        <v>585</v>
      </c>
    </row>
    <row r="19" spans="1:13" ht="14.25" customHeight="1" x14ac:dyDescent="0.3">
      <c r="A19" s="1">
        <v>3</v>
      </c>
      <c r="E19" s="17" t="s">
        <v>602</v>
      </c>
      <c r="F19" s="1" t="s">
        <v>1548</v>
      </c>
      <c r="G19" s="1" t="s">
        <v>1165</v>
      </c>
      <c r="H19" s="18">
        <v>138.6</v>
      </c>
      <c r="I19" s="27">
        <v>0.3</v>
      </c>
      <c r="J19" s="45">
        <f t="shared" si="0"/>
        <v>198</v>
      </c>
      <c r="K19" s="18">
        <f t="shared" si="1"/>
        <v>59.400000000000006</v>
      </c>
      <c r="L19" s="1" t="s">
        <v>585</v>
      </c>
      <c r="M19" s="17"/>
    </row>
    <row r="20" spans="1:13" x14ac:dyDescent="0.3">
      <c r="A20" s="1">
        <v>2</v>
      </c>
      <c r="E20" s="17" t="s">
        <v>1462</v>
      </c>
      <c r="F20" s="1" t="s">
        <v>1022</v>
      </c>
      <c r="H20" s="20">
        <v>315</v>
      </c>
      <c r="I20" s="27">
        <v>0.25</v>
      </c>
      <c r="J20" s="45">
        <f t="shared" si="0"/>
        <v>420</v>
      </c>
      <c r="K20" s="18">
        <f t="shared" si="1"/>
        <v>105</v>
      </c>
      <c r="L20" s="1" t="s">
        <v>585</v>
      </c>
      <c r="M20" s="17"/>
    </row>
    <row r="21" spans="1:13" x14ac:dyDescent="0.3">
      <c r="E21" s="17" t="s">
        <v>1464</v>
      </c>
      <c r="F21" s="1" t="s">
        <v>603</v>
      </c>
      <c r="H21" s="20">
        <v>272</v>
      </c>
      <c r="I21" s="27">
        <v>0.25</v>
      </c>
      <c r="J21" s="45">
        <f t="shared" si="0"/>
        <v>362.66666666666669</v>
      </c>
      <c r="K21" s="18">
        <f t="shared" si="1"/>
        <v>90.666666666666686</v>
      </c>
      <c r="L21" s="1" t="s">
        <v>585</v>
      </c>
      <c r="M21" s="17"/>
    </row>
    <row r="22" spans="1:13" hidden="1" x14ac:dyDescent="0.3">
      <c r="E22" s="1" t="s">
        <v>599</v>
      </c>
      <c r="F22" s="1" t="s">
        <v>1272</v>
      </c>
      <c r="G22" s="1">
        <v>9</v>
      </c>
      <c r="H22" s="18">
        <v>180.54</v>
      </c>
      <c r="I22" s="27">
        <v>0.3</v>
      </c>
      <c r="J22" s="45">
        <f t="shared" si="0"/>
        <v>257.91428571428571</v>
      </c>
      <c r="K22" s="18">
        <f t="shared" si="1"/>
        <v>77.374285714285719</v>
      </c>
      <c r="L22" s="1" t="s">
        <v>585</v>
      </c>
      <c r="M22" s="17"/>
    </row>
    <row r="23" spans="1:13" hidden="1" x14ac:dyDescent="0.3">
      <c r="A23" s="1">
        <v>2</v>
      </c>
      <c r="E23" s="1" t="s">
        <v>584</v>
      </c>
      <c r="F23" s="1" t="s">
        <v>601</v>
      </c>
      <c r="G23" s="1" t="s">
        <v>1165</v>
      </c>
      <c r="H23" s="18">
        <v>252.72</v>
      </c>
      <c r="I23" s="27">
        <v>0.3</v>
      </c>
      <c r="J23" s="45">
        <f t="shared" si="0"/>
        <v>361.02857142857147</v>
      </c>
      <c r="K23" s="18">
        <f t="shared" si="1"/>
        <v>108.30857142857147</v>
      </c>
      <c r="L23" s="1" t="s">
        <v>585</v>
      </c>
      <c r="M23" s="17"/>
    </row>
    <row r="24" spans="1:13" x14ac:dyDescent="0.3">
      <c r="A24" s="1">
        <v>2</v>
      </c>
      <c r="E24" s="17" t="s">
        <v>595</v>
      </c>
      <c r="F24" s="1" t="s">
        <v>1553</v>
      </c>
      <c r="G24" s="1" t="s">
        <v>1163</v>
      </c>
      <c r="H24" s="18">
        <v>133</v>
      </c>
      <c r="I24" s="27">
        <v>0.3</v>
      </c>
      <c r="J24" s="45">
        <f t="shared" si="0"/>
        <v>190</v>
      </c>
      <c r="K24" s="18">
        <f t="shared" si="1"/>
        <v>57</v>
      </c>
      <c r="L24" s="1" t="s">
        <v>585</v>
      </c>
      <c r="M24" s="17"/>
    </row>
    <row r="25" spans="1:13" x14ac:dyDescent="0.3">
      <c r="A25" s="1">
        <v>2</v>
      </c>
      <c r="E25" s="17" t="s">
        <v>1202</v>
      </c>
      <c r="F25" s="1" t="s">
        <v>1565</v>
      </c>
      <c r="G25" s="1" t="s">
        <v>1165</v>
      </c>
      <c r="H25" s="18">
        <v>126</v>
      </c>
      <c r="I25" s="27">
        <v>0.3</v>
      </c>
      <c r="J25" s="45">
        <f t="shared" si="0"/>
        <v>180</v>
      </c>
      <c r="K25" s="18">
        <f t="shared" si="1"/>
        <v>54</v>
      </c>
      <c r="L25" s="1" t="s">
        <v>585</v>
      </c>
      <c r="M25" s="17"/>
    </row>
    <row r="26" spans="1:13" x14ac:dyDescent="0.3">
      <c r="E26" s="17" t="s">
        <v>1203</v>
      </c>
      <c r="F26" s="1" t="s">
        <v>1567</v>
      </c>
      <c r="G26" s="1" t="s">
        <v>1165</v>
      </c>
      <c r="H26" s="18">
        <v>130</v>
      </c>
      <c r="I26" s="27">
        <v>0.3</v>
      </c>
      <c r="J26" s="45">
        <f t="shared" si="0"/>
        <v>185.71428571428572</v>
      </c>
      <c r="K26" s="18">
        <f t="shared" si="1"/>
        <v>55.714285714285722</v>
      </c>
      <c r="L26" s="1" t="s">
        <v>585</v>
      </c>
      <c r="M26" s="17"/>
    </row>
    <row r="27" spans="1:13" x14ac:dyDescent="0.3">
      <c r="A27" s="1">
        <v>1</v>
      </c>
      <c r="E27" s="17" t="s">
        <v>1270</v>
      </c>
      <c r="F27" s="1" t="s">
        <v>1558</v>
      </c>
      <c r="G27" s="1" t="s">
        <v>1174</v>
      </c>
      <c r="H27" s="18">
        <v>157.5</v>
      </c>
      <c r="I27" s="27">
        <v>0.3</v>
      </c>
      <c r="J27" s="45">
        <f t="shared" si="0"/>
        <v>225.00000000000003</v>
      </c>
      <c r="K27" s="18">
        <f t="shared" si="1"/>
        <v>67.500000000000028</v>
      </c>
      <c r="L27" s="1" t="s">
        <v>585</v>
      </c>
      <c r="M27" s="17"/>
    </row>
    <row r="28" spans="1:13" x14ac:dyDescent="0.3">
      <c r="A28" s="1">
        <v>1</v>
      </c>
      <c r="E28" s="17" t="s">
        <v>1199</v>
      </c>
      <c r="F28" s="1" t="s">
        <v>638</v>
      </c>
      <c r="G28" s="1" t="s">
        <v>1174</v>
      </c>
      <c r="H28" s="20">
        <v>145.80000000000001</v>
      </c>
      <c r="I28" s="27">
        <v>0.3</v>
      </c>
      <c r="J28" s="45">
        <f t="shared" si="0"/>
        <v>208.28571428571431</v>
      </c>
      <c r="K28" s="18">
        <f t="shared" si="1"/>
        <v>62.485714285714295</v>
      </c>
      <c r="L28" s="1" t="s">
        <v>585</v>
      </c>
      <c r="M28" s="17"/>
    </row>
    <row r="29" spans="1:13" x14ac:dyDescent="0.3">
      <c r="A29" s="1">
        <v>2</v>
      </c>
      <c r="E29" s="17" t="s">
        <v>600</v>
      </c>
      <c r="F29" s="1" t="s">
        <v>1561</v>
      </c>
      <c r="G29" s="1" t="s">
        <v>1165</v>
      </c>
      <c r="H29" s="18">
        <v>133</v>
      </c>
      <c r="I29" s="27">
        <v>0.3</v>
      </c>
      <c r="J29" s="45">
        <f t="shared" si="0"/>
        <v>190</v>
      </c>
      <c r="K29" s="18">
        <f t="shared" si="1"/>
        <v>57</v>
      </c>
      <c r="L29" s="1" t="s">
        <v>585</v>
      </c>
      <c r="M29" s="17"/>
    </row>
    <row r="30" spans="1:13" x14ac:dyDescent="0.3">
      <c r="A30" s="1">
        <v>2</v>
      </c>
      <c r="E30" s="17" t="s">
        <v>1268</v>
      </c>
      <c r="F30" s="1" t="s">
        <v>1551</v>
      </c>
      <c r="G30" s="1" t="s">
        <v>1174</v>
      </c>
      <c r="H30" s="18">
        <v>129.15</v>
      </c>
      <c r="I30" s="27">
        <v>0.3</v>
      </c>
      <c r="J30" s="45">
        <f t="shared" si="0"/>
        <v>184.50000000000003</v>
      </c>
      <c r="K30" s="18">
        <f t="shared" si="1"/>
        <v>55.350000000000023</v>
      </c>
      <c r="L30" s="1" t="s">
        <v>585</v>
      </c>
      <c r="M30" s="17"/>
    </row>
    <row r="31" spans="1:13" x14ac:dyDescent="0.3">
      <c r="E31" s="17" t="s">
        <v>591</v>
      </c>
      <c r="F31" s="1" t="s">
        <v>1554</v>
      </c>
      <c r="G31" s="1" t="s">
        <v>1163</v>
      </c>
      <c r="H31" s="18">
        <v>158</v>
      </c>
      <c r="I31" s="27">
        <v>0.3</v>
      </c>
      <c r="J31" s="45">
        <f t="shared" si="0"/>
        <v>225.71428571428572</v>
      </c>
      <c r="K31" s="18">
        <f t="shared" si="1"/>
        <v>67.714285714285722</v>
      </c>
      <c r="L31" s="1" t="s">
        <v>585</v>
      </c>
      <c r="M31" s="20">
        <v>220</v>
      </c>
    </row>
    <row r="32" spans="1:13" ht="15.75" customHeight="1" x14ac:dyDescent="0.3">
      <c r="A32" s="1" t="s">
        <v>1162</v>
      </c>
      <c r="E32" s="17" t="s">
        <v>912</v>
      </c>
      <c r="F32" s="1" t="s">
        <v>1559</v>
      </c>
      <c r="G32" s="1" t="s">
        <v>1174</v>
      </c>
      <c r="H32" s="18">
        <v>118.31</v>
      </c>
      <c r="I32" s="27">
        <v>0.3</v>
      </c>
      <c r="J32" s="45">
        <f t="shared" si="0"/>
        <v>169.01428571428573</v>
      </c>
      <c r="K32" s="18">
        <f t="shared" si="1"/>
        <v>50.704285714285732</v>
      </c>
      <c r="L32" s="1" t="s">
        <v>585</v>
      </c>
      <c r="M32" s="20">
        <v>200</v>
      </c>
    </row>
    <row r="33" spans="1:14" x14ac:dyDescent="0.3">
      <c r="A33" s="1">
        <v>1</v>
      </c>
      <c r="E33" s="17" t="s">
        <v>1485</v>
      </c>
      <c r="F33" s="1" t="s">
        <v>622</v>
      </c>
      <c r="G33" s="1" t="s">
        <v>1165</v>
      </c>
      <c r="H33" s="20">
        <v>145</v>
      </c>
      <c r="I33" s="27">
        <v>0.3</v>
      </c>
      <c r="J33" s="45">
        <f t="shared" si="0"/>
        <v>207.14285714285717</v>
      </c>
      <c r="K33" s="18">
        <f t="shared" si="1"/>
        <v>62.142857142857167</v>
      </c>
      <c r="L33" s="1" t="s">
        <v>585</v>
      </c>
      <c r="M33" s="17"/>
    </row>
    <row r="34" spans="1:14" x14ac:dyDescent="0.3">
      <c r="E34" s="17" t="s">
        <v>1412</v>
      </c>
      <c r="F34" s="1" t="s">
        <v>1566</v>
      </c>
      <c r="G34" s="1" t="s">
        <v>1174</v>
      </c>
      <c r="H34" s="18">
        <v>145</v>
      </c>
      <c r="I34" s="27">
        <v>0.3</v>
      </c>
      <c r="J34" s="45">
        <f t="shared" si="0"/>
        <v>207.14285714285717</v>
      </c>
      <c r="K34" s="18">
        <f t="shared" si="1"/>
        <v>62.142857142857167</v>
      </c>
      <c r="L34" s="1" t="s">
        <v>585</v>
      </c>
      <c r="M34" s="17"/>
    </row>
    <row r="35" spans="1:14" hidden="1" x14ac:dyDescent="0.3">
      <c r="D35" s="1">
        <v>1</v>
      </c>
      <c r="E35" s="1" t="s">
        <v>1470</v>
      </c>
      <c r="F35" s="1" t="s">
        <v>1471</v>
      </c>
      <c r="G35" s="1" t="s">
        <v>1174</v>
      </c>
      <c r="H35" s="20">
        <v>135</v>
      </c>
      <c r="I35" s="27">
        <v>0.3</v>
      </c>
      <c r="J35" s="45">
        <f t="shared" si="0"/>
        <v>192.85714285714286</v>
      </c>
      <c r="K35" s="18">
        <f t="shared" si="1"/>
        <v>57.857142857142861</v>
      </c>
      <c r="L35" s="1" t="s">
        <v>508</v>
      </c>
      <c r="M35" s="17"/>
    </row>
    <row r="36" spans="1:14" s="17" customFormat="1" x14ac:dyDescent="0.3">
      <c r="E36" s="17" t="s">
        <v>598</v>
      </c>
      <c r="F36" s="17" t="s">
        <v>1571</v>
      </c>
      <c r="G36" s="17" t="s">
        <v>1163</v>
      </c>
      <c r="H36" s="20">
        <v>281.52</v>
      </c>
      <c r="I36" s="49">
        <v>0.3</v>
      </c>
      <c r="J36" s="34">
        <f t="shared" si="0"/>
        <v>402.17142857142858</v>
      </c>
      <c r="K36" s="20">
        <f t="shared" si="1"/>
        <v>120.6514285714286</v>
      </c>
      <c r="L36" s="17" t="s">
        <v>585</v>
      </c>
    </row>
    <row r="37" spans="1:14" hidden="1" x14ac:dyDescent="0.3">
      <c r="B37" s="32"/>
      <c r="C37" s="32"/>
      <c r="D37" s="32"/>
      <c r="E37" s="1" t="s">
        <v>1463</v>
      </c>
      <c r="F37" s="1" t="s">
        <v>1333</v>
      </c>
      <c r="H37" s="18">
        <v>315</v>
      </c>
      <c r="I37" s="27">
        <v>0.3</v>
      </c>
      <c r="J37" s="45">
        <f t="shared" si="0"/>
        <v>450.00000000000006</v>
      </c>
      <c r="K37" s="18">
        <f t="shared" si="1"/>
        <v>135.00000000000006</v>
      </c>
      <c r="L37" s="1" t="s">
        <v>585</v>
      </c>
      <c r="M37" s="17"/>
    </row>
    <row r="38" spans="1:14" x14ac:dyDescent="0.3">
      <c r="A38" s="1">
        <v>1</v>
      </c>
      <c r="E38" s="17" t="s">
        <v>593</v>
      </c>
      <c r="F38" s="1" t="s">
        <v>1540</v>
      </c>
      <c r="H38" s="18">
        <v>124.379</v>
      </c>
      <c r="I38" s="27">
        <v>0.3</v>
      </c>
      <c r="J38" s="45">
        <f t="shared" si="0"/>
        <v>177.68428571428572</v>
      </c>
      <c r="K38" s="18">
        <f t="shared" si="1"/>
        <v>53.305285714285716</v>
      </c>
      <c r="L38" s="1" t="s">
        <v>585</v>
      </c>
      <c r="M38" s="17"/>
    </row>
    <row r="39" spans="1:14" x14ac:dyDescent="0.3">
      <c r="A39" s="35">
        <v>1</v>
      </c>
      <c r="E39" s="17" t="s">
        <v>1351</v>
      </c>
      <c r="F39" s="1" t="s">
        <v>1572</v>
      </c>
      <c r="G39" s="1" t="s">
        <v>1163</v>
      </c>
      <c r="H39" s="18">
        <v>266.95999999999998</v>
      </c>
      <c r="I39" s="27">
        <v>0.3</v>
      </c>
      <c r="J39" s="45">
        <f t="shared" si="0"/>
        <v>381.37142857142857</v>
      </c>
      <c r="K39" s="18">
        <f t="shared" si="1"/>
        <v>114.41142857142859</v>
      </c>
      <c r="L39" s="1" t="s">
        <v>585</v>
      </c>
      <c r="M39" s="17"/>
    </row>
    <row r="40" spans="1:14" hidden="1" x14ac:dyDescent="0.3">
      <c r="A40" s="1">
        <v>2</v>
      </c>
      <c r="E40" s="1" t="s">
        <v>1463</v>
      </c>
      <c r="F40" s="1" t="s">
        <v>629</v>
      </c>
      <c r="H40" s="18">
        <v>242.69</v>
      </c>
      <c r="I40" s="27">
        <v>0.3</v>
      </c>
      <c r="J40" s="45">
        <f t="shared" si="0"/>
        <v>346.70000000000005</v>
      </c>
      <c r="K40" s="18">
        <f t="shared" si="1"/>
        <v>104.01000000000005</v>
      </c>
      <c r="L40" s="1" t="s">
        <v>585</v>
      </c>
      <c r="M40" s="17"/>
    </row>
    <row r="41" spans="1:14" hidden="1" x14ac:dyDescent="0.3">
      <c r="A41" s="1">
        <v>1</v>
      </c>
      <c r="E41" s="1" t="s">
        <v>1463</v>
      </c>
      <c r="F41" s="1" t="s">
        <v>637</v>
      </c>
      <c r="H41" s="18">
        <v>315</v>
      </c>
      <c r="I41" s="27">
        <v>0.3</v>
      </c>
      <c r="J41" s="45">
        <f>H41/(1-I41)</f>
        <v>450.00000000000006</v>
      </c>
      <c r="K41" s="18">
        <f t="shared" si="1"/>
        <v>135.00000000000006</v>
      </c>
      <c r="L41" s="1" t="s">
        <v>585</v>
      </c>
      <c r="M41" s="17"/>
    </row>
    <row r="42" spans="1:14" hidden="1" x14ac:dyDescent="0.3">
      <c r="A42" s="1">
        <v>2</v>
      </c>
      <c r="E42" s="1" t="s">
        <v>1271</v>
      </c>
      <c r="F42" s="1" t="s">
        <v>1334</v>
      </c>
      <c r="G42" s="1" t="s">
        <v>1176</v>
      </c>
      <c r="H42" s="18">
        <v>158</v>
      </c>
      <c r="I42" s="27">
        <v>0.3</v>
      </c>
      <c r="J42" s="45">
        <f>H42/(1-I42)</f>
        <v>225.71428571428572</v>
      </c>
      <c r="K42" s="18">
        <f t="shared" si="1"/>
        <v>67.714285714285722</v>
      </c>
      <c r="L42" s="1" t="s">
        <v>585</v>
      </c>
      <c r="M42" s="17"/>
    </row>
    <row r="43" spans="1:14" hidden="1" x14ac:dyDescent="0.3">
      <c r="E43" s="1" t="s">
        <v>1463</v>
      </c>
      <c r="F43" s="1" t="s">
        <v>544</v>
      </c>
      <c r="G43" s="1" t="s">
        <v>1165</v>
      </c>
      <c r="H43" s="18">
        <v>178.2</v>
      </c>
      <c r="I43" s="27">
        <v>0.3</v>
      </c>
      <c r="J43" s="45">
        <f t="shared" si="0"/>
        <v>254.57142857142858</v>
      </c>
      <c r="K43" s="18">
        <f t="shared" si="1"/>
        <v>76.371428571428595</v>
      </c>
      <c r="L43" s="1" t="s">
        <v>585</v>
      </c>
      <c r="M43" s="17"/>
    </row>
    <row r="44" spans="1:14" x14ac:dyDescent="0.3">
      <c r="A44" s="1">
        <v>1</v>
      </c>
      <c r="E44" s="17" t="s">
        <v>1269</v>
      </c>
      <c r="F44" s="1" t="s">
        <v>631</v>
      </c>
      <c r="G44" s="1" t="s">
        <v>1267</v>
      </c>
      <c r="H44" s="18">
        <v>315</v>
      </c>
      <c r="I44" s="27">
        <v>0.3</v>
      </c>
      <c r="J44" s="45">
        <f t="shared" si="0"/>
        <v>450.00000000000006</v>
      </c>
      <c r="K44" s="18">
        <f t="shared" si="1"/>
        <v>135.00000000000006</v>
      </c>
      <c r="L44" s="1" t="s">
        <v>585</v>
      </c>
      <c r="M44" s="17"/>
    </row>
    <row r="45" spans="1:14" x14ac:dyDescent="0.3">
      <c r="A45" s="1">
        <v>1</v>
      </c>
      <c r="E45" s="17" t="s">
        <v>1352</v>
      </c>
      <c r="F45" s="1" t="s">
        <v>1552</v>
      </c>
      <c r="G45" s="1" t="s">
        <v>1176</v>
      </c>
      <c r="H45" s="18"/>
      <c r="I45" s="27">
        <v>0.3</v>
      </c>
      <c r="J45" s="45">
        <f t="shared" si="0"/>
        <v>0</v>
      </c>
      <c r="K45" s="18">
        <f t="shared" si="1"/>
        <v>0</v>
      </c>
      <c r="M45" s="17"/>
    </row>
    <row r="46" spans="1:14" x14ac:dyDescent="0.3">
      <c r="A46" s="1">
        <v>1</v>
      </c>
      <c r="B46" s="1">
        <v>0</v>
      </c>
      <c r="E46" s="17" t="s">
        <v>1323</v>
      </c>
      <c r="F46" s="1" t="s">
        <v>533</v>
      </c>
      <c r="G46" s="1" t="s">
        <v>1163</v>
      </c>
      <c r="H46" s="20">
        <v>225</v>
      </c>
      <c r="I46" s="27">
        <v>0.3</v>
      </c>
      <c r="J46" s="45">
        <f t="shared" si="0"/>
        <v>321.42857142857144</v>
      </c>
      <c r="K46" s="18">
        <f t="shared" si="1"/>
        <v>96.428571428571445</v>
      </c>
      <c r="L46" s="1" t="s">
        <v>508</v>
      </c>
      <c r="M46" s="17"/>
    </row>
    <row r="47" spans="1:14" x14ac:dyDescent="0.3">
      <c r="D47" s="1">
        <v>1</v>
      </c>
      <c r="E47" s="17" t="s">
        <v>1466</v>
      </c>
      <c r="F47" s="1" t="s">
        <v>1467</v>
      </c>
      <c r="G47" s="1" t="s">
        <v>1163</v>
      </c>
      <c r="H47" s="20">
        <v>135</v>
      </c>
      <c r="I47" s="27">
        <v>0.3</v>
      </c>
      <c r="J47" s="45">
        <f t="shared" si="0"/>
        <v>192.85714285714286</v>
      </c>
      <c r="K47" s="18">
        <f t="shared" si="1"/>
        <v>57.857142857142861</v>
      </c>
      <c r="L47" s="1" t="s">
        <v>508</v>
      </c>
      <c r="M47" s="17"/>
      <c r="N47" s="1">
        <v>220</v>
      </c>
    </row>
    <row r="48" spans="1:14" x14ac:dyDescent="0.3">
      <c r="E48" s="17" t="s">
        <v>619</v>
      </c>
      <c r="F48" s="1" t="s">
        <v>1540</v>
      </c>
      <c r="G48" s="1" t="s">
        <v>1357</v>
      </c>
      <c r="H48" s="18">
        <v>145</v>
      </c>
      <c r="I48" s="27">
        <v>0.3</v>
      </c>
      <c r="J48" s="45">
        <f t="shared" si="0"/>
        <v>207.14285714285717</v>
      </c>
      <c r="K48" s="18">
        <f t="shared" si="1"/>
        <v>62.142857142857167</v>
      </c>
      <c r="L48" s="1" t="s">
        <v>508</v>
      </c>
      <c r="M48" s="17"/>
    </row>
    <row r="49" spans="1:13" x14ac:dyDescent="0.3">
      <c r="A49" s="1">
        <v>2</v>
      </c>
      <c r="B49" s="33">
        <v>16793</v>
      </c>
      <c r="C49" s="33"/>
      <c r="D49" s="33"/>
      <c r="E49" s="17" t="s">
        <v>541</v>
      </c>
      <c r="F49" s="1" t="s">
        <v>542</v>
      </c>
      <c r="G49" s="1" t="s">
        <v>1174</v>
      </c>
      <c r="H49" s="20">
        <v>145</v>
      </c>
      <c r="I49" s="27">
        <v>0.3</v>
      </c>
      <c r="J49" s="45">
        <f t="shared" si="0"/>
        <v>207.14285714285717</v>
      </c>
      <c r="K49" s="18">
        <f t="shared" si="1"/>
        <v>62.142857142857167</v>
      </c>
      <c r="L49" s="1" t="s">
        <v>508</v>
      </c>
      <c r="M49" s="17"/>
    </row>
    <row r="50" spans="1:13" x14ac:dyDescent="0.3">
      <c r="E50" s="17" t="s">
        <v>565</v>
      </c>
      <c r="F50" s="1" t="s">
        <v>566</v>
      </c>
      <c r="H50" s="18">
        <v>145</v>
      </c>
      <c r="I50" s="27">
        <v>0.3</v>
      </c>
      <c r="J50" s="45">
        <f t="shared" si="0"/>
        <v>207.14285714285717</v>
      </c>
      <c r="K50" s="18">
        <f t="shared" si="1"/>
        <v>62.142857142857167</v>
      </c>
      <c r="L50" s="1" t="s">
        <v>508</v>
      </c>
      <c r="M50" s="36"/>
    </row>
    <row r="51" spans="1:13" x14ac:dyDescent="0.3">
      <c r="A51" s="1">
        <v>2</v>
      </c>
      <c r="E51" s="17" t="s">
        <v>582</v>
      </c>
      <c r="F51" s="1" t="s">
        <v>1503</v>
      </c>
      <c r="G51" s="1" t="s">
        <v>1174</v>
      </c>
      <c r="H51" s="20">
        <v>145</v>
      </c>
      <c r="I51" s="27">
        <v>0.3</v>
      </c>
      <c r="J51" s="45">
        <f t="shared" si="0"/>
        <v>207.14285714285717</v>
      </c>
      <c r="K51" s="18">
        <f t="shared" si="1"/>
        <v>62.142857142857167</v>
      </c>
      <c r="L51" s="1" t="s">
        <v>508</v>
      </c>
      <c r="M51" s="17"/>
    </row>
    <row r="52" spans="1:13" x14ac:dyDescent="0.3">
      <c r="E52" s="17" t="s">
        <v>529</v>
      </c>
      <c r="F52" s="1" t="s">
        <v>530</v>
      </c>
      <c r="H52" s="18">
        <v>135</v>
      </c>
      <c r="I52" s="27">
        <v>0.3</v>
      </c>
      <c r="J52" s="45">
        <f t="shared" si="0"/>
        <v>192.85714285714286</v>
      </c>
      <c r="K52" s="18">
        <f t="shared" si="1"/>
        <v>57.857142857142861</v>
      </c>
      <c r="L52" s="1" t="s">
        <v>508</v>
      </c>
      <c r="M52" s="36" t="s">
        <v>531</v>
      </c>
    </row>
    <row r="53" spans="1:13" x14ac:dyDescent="0.3">
      <c r="E53" s="17" t="s">
        <v>614</v>
      </c>
      <c r="F53" s="1" t="s">
        <v>1504</v>
      </c>
      <c r="G53" s="1" t="s">
        <v>1174</v>
      </c>
      <c r="H53" s="18">
        <v>145</v>
      </c>
      <c r="I53" s="27">
        <v>0.3</v>
      </c>
      <c r="J53" s="45">
        <f t="shared" si="0"/>
        <v>207.14285714285717</v>
      </c>
      <c r="K53" s="18">
        <f t="shared" si="1"/>
        <v>62.142857142857167</v>
      </c>
      <c r="L53" s="1" t="s">
        <v>508</v>
      </c>
      <c r="M53" s="17"/>
    </row>
    <row r="54" spans="1:13" x14ac:dyDescent="0.3">
      <c r="A54" s="1">
        <v>1</v>
      </c>
      <c r="E54" s="17" t="s">
        <v>540</v>
      </c>
      <c r="F54" s="1" t="s">
        <v>1505</v>
      </c>
      <c r="G54" s="1" t="s">
        <v>1165</v>
      </c>
      <c r="H54" s="18">
        <v>145</v>
      </c>
      <c r="I54" s="27">
        <v>0.3</v>
      </c>
      <c r="J54" s="45">
        <f t="shared" si="0"/>
        <v>207.14285714285717</v>
      </c>
      <c r="K54" s="18">
        <f t="shared" si="1"/>
        <v>62.142857142857167</v>
      </c>
      <c r="L54" s="1" t="s">
        <v>508</v>
      </c>
      <c r="M54" s="20">
        <v>210</v>
      </c>
    </row>
    <row r="55" spans="1:13" x14ac:dyDescent="0.3">
      <c r="E55" s="17" t="s">
        <v>548</v>
      </c>
      <c r="F55" s="1" t="s">
        <v>1094</v>
      </c>
      <c r="H55" s="18">
        <v>145</v>
      </c>
      <c r="I55" s="27">
        <v>0.3</v>
      </c>
      <c r="J55" s="45">
        <f t="shared" si="0"/>
        <v>207.14285714285717</v>
      </c>
      <c r="K55" s="18">
        <f t="shared" si="1"/>
        <v>62.142857142857167</v>
      </c>
      <c r="L55" s="1" t="s">
        <v>508</v>
      </c>
      <c r="M55" s="17"/>
    </row>
    <row r="56" spans="1:13" x14ac:dyDescent="0.3">
      <c r="A56" s="1">
        <v>2</v>
      </c>
      <c r="E56" s="17" t="s">
        <v>527</v>
      </c>
      <c r="F56" s="1" t="s">
        <v>528</v>
      </c>
      <c r="G56" s="1" t="s">
        <v>1174</v>
      </c>
      <c r="H56" s="20">
        <v>145</v>
      </c>
      <c r="I56" s="27">
        <v>0.3</v>
      </c>
      <c r="J56" s="45">
        <f t="shared" si="0"/>
        <v>207.14285714285717</v>
      </c>
      <c r="K56" s="18">
        <f t="shared" si="1"/>
        <v>62.142857142857167</v>
      </c>
      <c r="L56" s="1" t="s">
        <v>508</v>
      </c>
      <c r="M56" s="17"/>
    </row>
    <row r="57" spans="1:13" x14ac:dyDescent="0.3">
      <c r="A57" s="1">
        <v>2</v>
      </c>
      <c r="E57" s="17" t="s">
        <v>515</v>
      </c>
      <c r="F57" s="1" t="s">
        <v>1333</v>
      </c>
      <c r="G57" s="1" t="s">
        <v>1201</v>
      </c>
      <c r="H57" s="18">
        <v>170</v>
      </c>
      <c r="I57" s="27">
        <v>0.3</v>
      </c>
      <c r="J57" s="45">
        <f t="shared" si="0"/>
        <v>242.85714285714286</v>
      </c>
      <c r="K57" s="18">
        <f t="shared" si="1"/>
        <v>72.857142857142861</v>
      </c>
      <c r="L57" s="1" t="s">
        <v>508</v>
      </c>
      <c r="M57" s="17"/>
    </row>
    <row r="58" spans="1:13" x14ac:dyDescent="0.3">
      <c r="D58" s="1">
        <v>1</v>
      </c>
      <c r="E58" s="17" t="s">
        <v>1468</v>
      </c>
      <c r="F58" s="1" t="s">
        <v>1469</v>
      </c>
      <c r="G58" s="1" t="s">
        <v>1163</v>
      </c>
      <c r="H58" s="20">
        <v>165</v>
      </c>
      <c r="I58" s="27">
        <v>0.3</v>
      </c>
      <c r="J58" s="45">
        <f t="shared" si="0"/>
        <v>235.71428571428572</v>
      </c>
      <c r="K58" s="18">
        <f t="shared" si="1"/>
        <v>70.714285714285722</v>
      </c>
      <c r="L58" s="1" t="s">
        <v>508</v>
      </c>
      <c r="M58" s="17"/>
    </row>
    <row r="59" spans="1:13" x14ac:dyDescent="0.3">
      <c r="A59" s="1">
        <v>1</v>
      </c>
      <c r="E59" s="17" t="s">
        <v>517</v>
      </c>
      <c r="F59" s="1" t="s">
        <v>518</v>
      </c>
      <c r="H59" s="18">
        <v>215</v>
      </c>
      <c r="I59" s="27">
        <v>0.3</v>
      </c>
      <c r="J59" s="45">
        <f t="shared" si="0"/>
        <v>307.14285714285717</v>
      </c>
      <c r="K59" s="18">
        <f t="shared" si="1"/>
        <v>92.142857142857167</v>
      </c>
      <c r="L59" s="1" t="s">
        <v>508</v>
      </c>
      <c r="M59" s="17"/>
    </row>
    <row r="60" spans="1:13" x14ac:dyDescent="0.3">
      <c r="E60" s="17" t="s">
        <v>507</v>
      </c>
      <c r="F60" s="1" t="s">
        <v>1500</v>
      </c>
      <c r="G60" s="1" t="s">
        <v>1165</v>
      </c>
      <c r="H60" s="20">
        <v>145</v>
      </c>
      <c r="I60" s="27">
        <v>0.3</v>
      </c>
      <c r="J60" s="45">
        <f t="shared" si="0"/>
        <v>207.14285714285717</v>
      </c>
      <c r="K60" s="18">
        <f t="shared" si="1"/>
        <v>62.142857142857167</v>
      </c>
      <c r="L60" s="1" t="s">
        <v>508</v>
      </c>
      <c r="M60" s="17"/>
    </row>
    <row r="61" spans="1:13" x14ac:dyDescent="0.3">
      <c r="A61" s="1">
        <v>2</v>
      </c>
      <c r="E61" s="17" t="s">
        <v>560</v>
      </c>
      <c r="F61" s="1" t="s">
        <v>629</v>
      </c>
      <c r="G61" s="1" t="s">
        <v>1165</v>
      </c>
      <c r="H61" s="20">
        <v>145</v>
      </c>
      <c r="I61" s="27">
        <v>0.3</v>
      </c>
      <c r="J61" s="45">
        <f t="shared" si="0"/>
        <v>207.14285714285717</v>
      </c>
      <c r="K61" s="18">
        <f t="shared" si="1"/>
        <v>62.142857142857167</v>
      </c>
      <c r="L61" s="1" t="s">
        <v>508</v>
      </c>
      <c r="M61" s="17"/>
    </row>
    <row r="62" spans="1:13" x14ac:dyDescent="0.3">
      <c r="A62" s="1">
        <v>2</v>
      </c>
      <c r="E62" s="17" t="s">
        <v>539</v>
      </c>
      <c r="F62" s="1" t="s">
        <v>1506</v>
      </c>
      <c r="G62" s="1" t="s">
        <v>1174</v>
      </c>
      <c r="H62" s="18">
        <v>145</v>
      </c>
      <c r="I62" s="27">
        <v>0.3</v>
      </c>
      <c r="J62" s="45">
        <f t="shared" si="0"/>
        <v>207.14285714285717</v>
      </c>
      <c r="K62" s="18">
        <f t="shared" si="1"/>
        <v>62.142857142857167</v>
      </c>
      <c r="L62" s="1" t="s">
        <v>508</v>
      </c>
      <c r="M62" s="20">
        <v>220</v>
      </c>
    </row>
    <row r="63" spans="1:13" hidden="1" x14ac:dyDescent="0.3">
      <c r="A63" s="1">
        <v>1</v>
      </c>
      <c r="B63" s="1">
        <v>3</v>
      </c>
      <c r="E63" s="1" t="s">
        <v>1459</v>
      </c>
      <c r="F63" s="1" t="s">
        <v>634</v>
      </c>
      <c r="G63" s="1" t="s">
        <v>1174</v>
      </c>
      <c r="H63" s="18">
        <v>135</v>
      </c>
      <c r="I63" s="27">
        <v>0.3</v>
      </c>
      <c r="J63" s="45">
        <f t="shared" si="0"/>
        <v>192.85714285714286</v>
      </c>
      <c r="K63" s="18">
        <f t="shared" si="1"/>
        <v>57.857142857142861</v>
      </c>
      <c r="L63" s="1" t="s">
        <v>508</v>
      </c>
      <c r="M63" s="17"/>
    </row>
    <row r="64" spans="1:13" x14ac:dyDescent="0.3">
      <c r="E64" s="17" t="s">
        <v>543</v>
      </c>
      <c r="F64" s="1" t="s">
        <v>1507</v>
      </c>
      <c r="G64" s="1" t="s">
        <v>1165</v>
      </c>
      <c r="H64" s="18">
        <v>215</v>
      </c>
      <c r="I64" s="27">
        <v>0.3</v>
      </c>
      <c r="J64" s="45">
        <f t="shared" si="0"/>
        <v>307.14285714285717</v>
      </c>
      <c r="K64" s="18">
        <f t="shared" si="1"/>
        <v>92.142857142857167</v>
      </c>
      <c r="L64" s="1" t="s">
        <v>508</v>
      </c>
      <c r="M64" s="17"/>
    </row>
    <row r="65" spans="1:13" x14ac:dyDescent="0.3">
      <c r="E65" s="17" t="s">
        <v>545</v>
      </c>
      <c r="F65" s="1" t="s">
        <v>1508</v>
      </c>
      <c r="G65" s="1" t="s">
        <v>1174</v>
      </c>
      <c r="H65" s="18">
        <v>145</v>
      </c>
      <c r="I65" s="27">
        <v>0.3</v>
      </c>
      <c r="J65" s="45">
        <f t="shared" si="0"/>
        <v>207.14285714285717</v>
      </c>
      <c r="K65" s="18">
        <f t="shared" si="1"/>
        <v>62.142857142857167</v>
      </c>
      <c r="L65" s="1" t="s">
        <v>508</v>
      </c>
      <c r="M65" s="17"/>
    </row>
    <row r="66" spans="1:13" x14ac:dyDescent="0.3">
      <c r="E66" s="17" t="s">
        <v>561</v>
      </c>
      <c r="F66" s="1" t="s">
        <v>1509</v>
      </c>
      <c r="G66" s="1" t="s">
        <v>1174</v>
      </c>
      <c r="H66" s="18">
        <v>130</v>
      </c>
      <c r="I66" s="27">
        <v>0.3</v>
      </c>
      <c r="J66" s="45">
        <f t="shared" si="0"/>
        <v>185.71428571428572</v>
      </c>
      <c r="K66" s="18">
        <f t="shared" si="1"/>
        <v>55.714285714285722</v>
      </c>
      <c r="L66" s="1" t="s">
        <v>508</v>
      </c>
      <c r="M66" s="17"/>
    </row>
    <row r="67" spans="1:13" x14ac:dyDescent="0.3">
      <c r="E67" s="17" t="s">
        <v>563</v>
      </c>
      <c r="F67" s="1" t="s">
        <v>1510</v>
      </c>
      <c r="G67" s="1" t="s">
        <v>1165</v>
      </c>
      <c r="H67" s="18">
        <v>155</v>
      </c>
      <c r="I67" s="27">
        <v>0.3</v>
      </c>
      <c r="J67" s="45">
        <f t="shared" si="0"/>
        <v>221.42857142857144</v>
      </c>
      <c r="K67" s="18">
        <f t="shared" si="1"/>
        <v>66.428571428571445</v>
      </c>
      <c r="L67" s="1" t="s">
        <v>508</v>
      </c>
      <c r="M67" s="20">
        <v>200</v>
      </c>
    </row>
    <row r="68" spans="1:13" x14ac:dyDescent="0.3">
      <c r="A68" s="1">
        <v>1</v>
      </c>
      <c r="E68" s="17" t="s">
        <v>564</v>
      </c>
      <c r="F68" s="1" t="s">
        <v>1511</v>
      </c>
      <c r="H68" s="18">
        <v>135</v>
      </c>
      <c r="I68" s="27">
        <v>0.3</v>
      </c>
      <c r="J68" s="45">
        <f t="shared" si="0"/>
        <v>192.85714285714286</v>
      </c>
      <c r="K68" s="18">
        <f t="shared" si="1"/>
        <v>57.857142857142861</v>
      </c>
      <c r="L68" s="1" t="s">
        <v>508</v>
      </c>
      <c r="M68" s="17"/>
    </row>
    <row r="69" spans="1:13" x14ac:dyDescent="0.3">
      <c r="E69" s="17" t="s">
        <v>616</v>
      </c>
      <c r="F69" s="1" t="s">
        <v>1512</v>
      </c>
      <c r="G69" s="1" t="s">
        <v>1176</v>
      </c>
      <c r="H69" s="18">
        <v>145</v>
      </c>
      <c r="I69" s="27">
        <v>0.3</v>
      </c>
      <c r="J69" s="45">
        <f t="shared" si="0"/>
        <v>207.14285714285717</v>
      </c>
      <c r="K69" s="18">
        <f t="shared" si="1"/>
        <v>62.142857142857167</v>
      </c>
      <c r="L69" s="1" t="s">
        <v>508</v>
      </c>
      <c r="M69" s="17"/>
    </row>
    <row r="70" spans="1:13" x14ac:dyDescent="0.3">
      <c r="A70" s="1">
        <v>1</v>
      </c>
      <c r="E70" s="17" t="s">
        <v>565</v>
      </c>
      <c r="F70" s="1" t="s">
        <v>605</v>
      </c>
      <c r="H70" s="18">
        <v>145</v>
      </c>
      <c r="I70" s="27">
        <v>0.3</v>
      </c>
      <c r="J70" s="45">
        <f t="shared" si="0"/>
        <v>207.14285714285717</v>
      </c>
      <c r="K70" s="18">
        <f t="shared" si="1"/>
        <v>62.142857142857167</v>
      </c>
      <c r="L70" s="1" t="s">
        <v>508</v>
      </c>
      <c r="M70" s="17"/>
    </row>
    <row r="71" spans="1:13" x14ac:dyDescent="0.3">
      <c r="E71" s="17" t="s">
        <v>526</v>
      </c>
      <c r="F71" s="1" t="s">
        <v>1513</v>
      </c>
      <c r="H71" s="18">
        <v>130</v>
      </c>
      <c r="I71" s="27">
        <v>0.3</v>
      </c>
      <c r="J71" s="45">
        <f t="shared" si="0"/>
        <v>185.71428571428572</v>
      </c>
      <c r="K71" s="18">
        <f t="shared" si="1"/>
        <v>55.714285714285722</v>
      </c>
      <c r="L71" s="1" t="s">
        <v>508</v>
      </c>
      <c r="M71" s="17"/>
    </row>
    <row r="72" spans="1:13" x14ac:dyDescent="0.3">
      <c r="A72" s="1">
        <v>2</v>
      </c>
      <c r="E72" s="17" t="s">
        <v>567</v>
      </c>
      <c r="F72" s="1" t="s">
        <v>1494</v>
      </c>
      <c r="G72" s="1" t="s">
        <v>1174</v>
      </c>
      <c r="H72" s="20">
        <v>145</v>
      </c>
      <c r="I72" s="27">
        <v>0.3</v>
      </c>
      <c r="J72" s="45">
        <f t="shared" si="0"/>
        <v>207.14285714285717</v>
      </c>
      <c r="K72" s="18">
        <f t="shared" si="1"/>
        <v>62.142857142857167</v>
      </c>
      <c r="L72" s="1" t="s">
        <v>508</v>
      </c>
      <c r="M72" s="17"/>
    </row>
    <row r="73" spans="1:13" x14ac:dyDescent="0.3">
      <c r="E73" s="17" t="s">
        <v>525</v>
      </c>
      <c r="F73" s="1" t="s">
        <v>1472</v>
      </c>
      <c r="G73" s="1" t="s">
        <v>1174</v>
      </c>
      <c r="H73" s="20">
        <v>145</v>
      </c>
      <c r="I73" s="27">
        <v>0.3</v>
      </c>
      <c r="J73" s="45">
        <f t="shared" si="0"/>
        <v>207.14285714285717</v>
      </c>
      <c r="K73" s="18">
        <f t="shared" si="1"/>
        <v>62.142857142857167</v>
      </c>
      <c r="L73" s="1" t="s">
        <v>508</v>
      </c>
      <c r="M73" s="17"/>
    </row>
    <row r="74" spans="1:13" x14ac:dyDescent="0.3">
      <c r="A74" s="1">
        <v>2</v>
      </c>
      <c r="E74" s="17" t="s">
        <v>519</v>
      </c>
      <c r="F74" s="1" t="s">
        <v>1514</v>
      </c>
      <c r="G74" s="1" t="s">
        <v>1165</v>
      </c>
      <c r="H74" s="18">
        <v>165</v>
      </c>
      <c r="I74" s="27">
        <v>0.3</v>
      </c>
      <c r="J74" s="45">
        <f t="shared" ref="J74:J149" si="2">H74/(1-I74)</f>
        <v>235.71428571428572</v>
      </c>
      <c r="K74" s="18">
        <f t="shared" si="1"/>
        <v>70.714285714285722</v>
      </c>
      <c r="L74" s="1" t="s">
        <v>508</v>
      </c>
      <c r="M74" s="17"/>
    </row>
    <row r="75" spans="1:13" x14ac:dyDescent="0.3">
      <c r="A75" s="1">
        <v>1</v>
      </c>
      <c r="E75" s="17" t="s">
        <v>618</v>
      </c>
      <c r="F75" s="1" t="s">
        <v>1515</v>
      </c>
      <c r="G75" s="1" t="s">
        <v>1174</v>
      </c>
      <c r="H75" s="18">
        <v>165</v>
      </c>
      <c r="I75" s="27">
        <v>0.3</v>
      </c>
      <c r="J75" s="45">
        <f t="shared" si="2"/>
        <v>235.71428571428572</v>
      </c>
      <c r="K75" s="18">
        <f t="shared" ref="K75:K150" si="3">J75-H75</f>
        <v>70.714285714285722</v>
      </c>
      <c r="L75" s="1" t="s">
        <v>508</v>
      </c>
      <c r="M75" s="17"/>
    </row>
    <row r="76" spans="1:13" x14ac:dyDescent="0.3">
      <c r="A76" s="1">
        <v>1</v>
      </c>
      <c r="E76" s="17" t="s">
        <v>568</v>
      </c>
      <c r="F76" s="1" t="s">
        <v>1274</v>
      </c>
      <c r="G76" s="1" t="s">
        <v>1174</v>
      </c>
      <c r="H76" s="18">
        <v>135</v>
      </c>
      <c r="I76" s="27">
        <v>0.3</v>
      </c>
      <c r="J76" s="45">
        <f t="shared" si="2"/>
        <v>192.85714285714286</v>
      </c>
      <c r="K76" s="18">
        <f t="shared" si="3"/>
        <v>57.857142857142861</v>
      </c>
      <c r="L76" s="1" t="s">
        <v>508</v>
      </c>
      <c r="M76" s="17"/>
    </row>
    <row r="77" spans="1:13" x14ac:dyDescent="0.3">
      <c r="A77" s="1">
        <v>1</v>
      </c>
      <c r="E77" s="17" t="s">
        <v>1335</v>
      </c>
      <c r="F77" s="1" t="s">
        <v>1516</v>
      </c>
      <c r="G77" s="1" t="s">
        <v>1163</v>
      </c>
      <c r="H77" s="18">
        <v>190</v>
      </c>
      <c r="I77" s="27">
        <v>0.3</v>
      </c>
      <c r="J77" s="45">
        <f t="shared" si="2"/>
        <v>271.42857142857144</v>
      </c>
      <c r="K77" s="18">
        <f t="shared" si="3"/>
        <v>81.428571428571445</v>
      </c>
      <c r="L77" s="1" t="s">
        <v>508</v>
      </c>
      <c r="M77" s="17"/>
    </row>
    <row r="78" spans="1:13" s="17" customFormat="1" x14ac:dyDescent="0.3">
      <c r="E78" s="17" t="s">
        <v>546</v>
      </c>
      <c r="F78" s="17" t="s">
        <v>1517</v>
      </c>
      <c r="G78" s="17" t="s">
        <v>1174</v>
      </c>
      <c r="H78" s="20">
        <v>150</v>
      </c>
      <c r="I78" s="49">
        <v>0.3</v>
      </c>
      <c r="J78" s="34">
        <f t="shared" si="2"/>
        <v>214.28571428571431</v>
      </c>
      <c r="K78" s="20">
        <f t="shared" si="3"/>
        <v>64.285714285714306</v>
      </c>
      <c r="L78" s="17" t="s">
        <v>508</v>
      </c>
    </row>
    <row r="79" spans="1:13" x14ac:dyDescent="0.3">
      <c r="A79" s="1">
        <v>1</v>
      </c>
      <c r="B79" s="33" t="s">
        <v>536</v>
      </c>
      <c r="C79" s="33"/>
      <c r="D79" s="33"/>
      <c r="E79" s="17" t="s">
        <v>537</v>
      </c>
      <c r="F79" s="1" t="s">
        <v>1518</v>
      </c>
      <c r="G79" s="1" t="s">
        <v>1165</v>
      </c>
      <c r="H79" s="18">
        <v>165</v>
      </c>
      <c r="I79" s="27">
        <v>0.3</v>
      </c>
      <c r="J79" s="45">
        <f t="shared" si="2"/>
        <v>235.71428571428572</v>
      </c>
      <c r="K79" s="18">
        <f t="shared" si="3"/>
        <v>70.714285714285722</v>
      </c>
      <c r="L79" s="1" t="s">
        <v>508</v>
      </c>
      <c r="M79" s="37">
        <v>220</v>
      </c>
    </row>
    <row r="80" spans="1:13" x14ac:dyDescent="0.3">
      <c r="E80" s="17" t="s">
        <v>520</v>
      </c>
      <c r="F80" s="1" t="s">
        <v>625</v>
      </c>
      <c r="G80" s="1" t="s">
        <v>1163</v>
      </c>
      <c r="H80" s="18">
        <v>139</v>
      </c>
      <c r="I80" s="27">
        <v>0.3</v>
      </c>
      <c r="J80" s="45">
        <f t="shared" si="2"/>
        <v>198.57142857142858</v>
      </c>
      <c r="K80" s="18">
        <f t="shared" si="3"/>
        <v>59.571428571428584</v>
      </c>
      <c r="L80" s="1" t="s">
        <v>508</v>
      </c>
      <c r="M80" s="17"/>
    </row>
    <row r="81" spans="1:13" x14ac:dyDescent="0.3">
      <c r="A81" s="1">
        <v>4</v>
      </c>
      <c r="E81" s="17" t="s">
        <v>580</v>
      </c>
      <c r="F81" s="1" t="s">
        <v>1519</v>
      </c>
      <c r="G81" s="1" t="s">
        <v>1163</v>
      </c>
      <c r="H81" s="18">
        <v>155</v>
      </c>
      <c r="I81" s="27">
        <v>0.3</v>
      </c>
      <c r="J81" s="45">
        <f t="shared" si="2"/>
        <v>221.42857142857144</v>
      </c>
      <c r="K81" s="18">
        <f t="shared" si="3"/>
        <v>66.428571428571445</v>
      </c>
      <c r="L81" s="1" t="s">
        <v>508</v>
      </c>
      <c r="M81" s="17"/>
    </row>
    <row r="82" spans="1:13" x14ac:dyDescent="0.3">
      <c r="A82" s="1">
        <v>2</v>
      </c>
      <c r="E82" s="17" t="s">
        <v>617</v>
      </c>
      <c r="F82" s="1" t="s">
        <v>1495</v>
      </c>
      <c r="G82" s="1" t="s">
        <v>1163</v>
      </c>
      <c r="H82" s="20">
        <v>145</v>
      </c>
      <c r="I82" s="27">
        <v>0.3</v>
      </c>
      <c r="J82" s="45">
        <f t="shared" si="2"/>
        <v>207.14285714285717</v>
      </c>
      <c r="K82" s="18">
        <f t="shared" si="3"/>
        <v>62.142857142857167</v>
      </c>
      <c r="L82" s="1" t="s">
        <v>508</v>
      </c>
      <c r="M82" s="17"/>
    </row>
    <row r="83" spans="1:13" x14ac:dyDescent="0.3">
      <c r="A83" s="1">
        <v>1</v>
      </c>
      <c r="E83" s="17" t="s">
        <v>524</v>
      </c>
      <c r="F83" s="1" t="s">
        <v>1493</v>
      </c>
      <c r="G83" s="1" t="s">
        <v>1174</v>
      </c>
      <c r="H83" s="20">
        <v>115</v>
      </c>
      <c r="I83" s="27">
        <v>0.3</v>
      </c>
      <c r="J83" s="45">
        <f t="shared" si="2"/>
        <v>164.28571428571431</v>
      </c>
      <c r="K83" s="18">
        <f t="shared" si="3"/>
        <v>49.285714285714306</v>
      </c>
      <c r="L83" s="1" t="s">
        <v>508</v>
      </c>
      <c r="M83" s="17"/>
    </row>
    <row r="84" spans="1:13" x14ac:dyDescent="0.3">
      <c r="A84" s="1">
        <v>2</v>
      </c>
      <c r="E84" s="17" t="s">
        <v>512</v>
      </c>
      <c r="F84" s="1" t="s">
        <v>1322</v>
      </c>
      <c r="G84" s="1" t="s">
        <v>1163</v>
      </c>
      <c r="H84" s="20">
        <v>175</v>
      </c>
      <c r="I84" s="27">
        <v>0.3</v>
      </c>
      <c r="J84" s="45">
        <f t="shared" si="2"/>
        <v>250.00000000000003</v>
      </c>
      <c r="K84" s="18">
        <f t="shared" si="3"/>
        <v>75.000000000000028</v>
      </c>
      <c r="L84" s="1" t="s">
        <v>508</v>
      </c>
      <c r="M84" s="36"/>
    </row>
    <row r="85" spans="1:13" x14ac:dyDescent="0.3">
      <c r="A85" s="1">
        <v>1</v>
      </c>
      <c r="E85" s="17" t="s">
        <v>569</v>
      </c>
      <c r="F85" s="1" t="s">
        <v>1520</v>
      </c>
      <c r="G85" s="1" t="s">
        <v>1163</v>
      </c>
      <c r="H85" s="18">
        <v>140</v>
      </c>
      <c r="I85" s="27">
        <v>0.3</v>
      </c>
      <c r="J85" s="45">
        <f t="shared" si="2"/>
        <v>200</v>
      </c>
      <c r="K85" s="18">
        <f t="shared" si="3"/>
        <v>60</v>
      </c>
      <c r="L85" s="1" t="s">
        <v>508</v>
      </c>
      <c r="M85" s="17"/>
    </row>
    <row r="86" spans="1:13" x14ac:dyDescent="0.3">
      <c r="A86" s="1">
        <v>1</v>
      </c>
      <c r="E86" s="17" t="s">
        <v>1290</v>
      </c>
      <c r="F86" s="1" t="s">
        <v>1291</v>
      </c>
      <c r="G86" s="1" t="s">
        <v>1174</v>
      </c>
      <c r="H86" s="20">
        <v>145</v>
      </c>
      <c r="I86" s="27">
        <v>0.3</v>
      </c>
      <c r="J86" s="45">
        <f t="shared" si="2"/>
        <v>207.14285714285717</v>
      </c>
      <c r="K86" s="18">
        <f t="shared" si="3"/>
        <v>62.142857142857167</v>
      </c>
      <c r="L86" s="1" t="s">
        <v>508</v>
      </c>
      <c r="M86" s="17"/>
    </row>
    <row r="87" spans="1:13" x14ac:dyDescent="0.3">
      <c r="E87" s="17" t="s">
        <v>547</v>
      </c>
      <c r="F87" s="1" t="s">
        <v>638</v>
      </c>
      <c r="G87" s="1" t="s">
        <v>1174</v>
      </c>
      <c r="H87" s="18">
        <v>145</v>
      </c>
      <c r="I87" s="27">
        <v>0.3</v>
      </c>
      <c r="J87" s="45">
        <f t="shared" si="2"/>
        <v>207.14285714285717</v>
      </c>
      <c r="K87" s="18">
        <f t="shared" si="3"/>
        <v>62.142857142857167</v>
      </c>
      <c r="L87" s="1" t="s">
        <v>508</v>
      </c>
      <c r="M87" s="17"/>
    </row>
    <row r="88" spans="1:13" x14ac:dyDescent="0.3">
      <c r="A88" s="1">
        <v>1</v>
      </c>
      <c r="E88" s="17" t="s">
        <v>521</v>
      </c>
      <c r="F88" s="1" t="s">
        <v>1521</v>
      </c>
      <c r="G88" s="1" t="s">
        <v>1165</v>
      </c>
      <c r="H88" s="18">
        <v>165</v>
      </c>
      <c r="I88" s="27">
        <v>0.3</v>
      </c>
      <c r="J88" s="45">
        <f t="shared" si="2"/>
        <v>235.71428571428572</v>
      </c>
      <c r="K88" s="18">
        <f t="shared" si="3"/>
        <v>70.714285714285722</v>
      </c>
      <c r="L88" s="1" t="s">
        <v>508</v>
      </c>
      <c r="M88" s="17"/>
    </row>
    <row r="89" spans="1:13" x14ac:dyDescent="0.3">
      <c r="A89" s="1">
        <v>2</v>
      </c>
      <c r="E89" s="17" t="s">
        <v>570</v>
      </c>
      <c r="F89" s="1" t="s">
        <v>571</v>
      </c>
      <c r="H89" s="20">
        <v>165</v>
      </c>
      <c r="I89" s="27">
        <v>0.3</v>
      </c>
      <c r="J89" s="45">
        <f t="shared" si="2"/>
        <v>235.71428571428572</v>
      </c>
      <c r="K89" s="18">
        <f t="shared" si="3"/>
        <v>70.714285714285722</v>
      </c>
      <c r="L89" s="1" t="s">
        <v>508</v>
      </c>
      <c r="M89" s="17"/>
    </row>
    <row r="90" spans="1:13" x14ac:dyDescent="0.3">
      <c r="E90" s="17" t="s">
        <v>1460</v>
      </c>
      <c r="F90" s="1" t="s">
        <v>1465</v>
      </c>
      <c r="G90" s="1" t="s">
        <v>1165</v>
      </c>
      <c r="H90" s="20">
        <v>275</v>
      </c>
      <c r="I90" s="27">
        <v>0.3</v>
      </c>
      <c r="J90" s="45">
        <f t="shared" si="2"/>
        <v>392.85714285714289</v>
      </c>
      <c r="K90" s="18">
        <f t="shared" si="3"/>
        <v>117.85714285714289</v>
      </c>
      <c r="L90" s="1" t="s">
        <v>508</v>
      </c>
      <c r="M90" s="17"/>
    </row>
    <row r="91" spans="1:13" x14ac:dyDescent="0.3">
      <c r="A91" s="1">
        <v>2</v>
      </c>
      <c r="E91" s="17" t="s">
        <v>572</v>
      </c>
      <c r="F91" s="1" t="s">
        <v>1522</v>
      </c>
      <c r="G91" s="1" t="s">
        <v>1165</v>
      </c>
      <c r="H91" s="18">
        <v>175</v>
      </c>
      <c r="I91" s="27">
        <v>0.3</v>
      </c>
      <c r="J91" s="45">
        <f t="shared" si="2"/>
        <v>250.00000000000003</v>
      </c>
      <c r="K91" s="18">
        <f t="shared" si="3"/>
        <v>75.000000000000028</v>
      </c>
      <c r="L91" s="1" t="s">
        <v>508</v>
      </c>
      <c r="M91" s="20"/>
    </row>
    <row r="92" spans="1:13" x14ac:dyDescent="0.3">
      <c r="E92" s="17" t="s">
        <v>522</v>
      </c>
      <c r="F92" s="1" t="s">
        <v>1523</v>
      </c>
      <c r="G92" s="1" t="s">
        <v>1165</v>
      </c>
      <c r="H92" s="18">
        <v>145</v>
      </c>
      <c r="I92" s="27">
        <v>0.3</v>
      </c>
      <c r="J92" s="45">
        <f t="shared" si="2"/>
        <v>207.14285714285717</v>
      </c>
      <c r="K92" s="18">
        <f t="shared" si="3"/>
        <v>62.142857142857167</v>
      </c>
      <c r="L92" s="1" t="s">
        <v>508</v>
      </c>
      <c r="M92" s="17"/>
    </row>
    <row r="93" spans="1:13" x14ac:dyDescent="0.3">
      <c r="A93" s="1">
        <v>1</v>
      </c>
      <c r="E93" s="17" t="s">
        <v>573</v>
      </c>
      <c r="F93" s="1" t="s">
        <v>1524</v>
      </c>
      <c r="H93" s="18">
        <v>155</v>
      </c>
      <c r="I93" s="27">
        <v>0.3</v>
      </c>
      <c r="J93" s="45">
        <f t="shared" si="2"/>
        <v>221.42857142857144</v>
      </c>
      <c r="K93" s="18">
        <f t="shared" si="3"/>
        <v>66.428571428571445</v>
      </c>
      <c r="L93" s="1" t="s">
        <v>508</v>
      </c>
      <c r="M93" s="17"/>
    </row>
    <row r="94" spans="1:13" x14ac:dyDescent="0.3">
      <c r="E94" s="17" t="s">
        <v>516</v>
      </c>
      <c r="F94" s="1" t="s">
        <v>626</v>
      </c>
      <c r="H94" s="18">
        <v>150</v>
      </c>
      <c r="I94" s="27">
        <v>0.3</v>
      </c>
      <c r="J94" s="45">
        <f t="shared" si="2"/>
        <v>214.28571428571431</v>
      </c>
      <c r="K94" s="18">
        <f t="shared" si="3"/>
        <v>64.285714285714306</v>
      </c>
      <c r="L94" s="1" t="s">
        <v>508</v>
      </c>
      <c r="M94" s="17"/>
    </row>
    <row r="95" spans="1:13" x14ac:dyDescent="0.3">
      <c r="E95" s="17" t="s">
        <v>534</v>
      </c>
      <c r="F95" s="1" t="s">
        <v>1525</v>
      </c>
      <c r="G95" s="1" t="s">
        <v>1163</v>
      </c>
      <c r="H95" s="18">
        <v>185</v>
      </c>
      <c r="I95" s="27">
        <v>0.3</v>
      </c>
      <c r="J95" s="45">
        <f t="shared" si="2"/>
        <v>264.28571428571428</v>
      </c>
      <c r="K95" s="18">
        <f t="shared" si="3"/>
        <v>79.285714285714278</v>
      </c>
      <c r="L95" s="1" t="s">
        <v>508</v>
      </c>
      <c r="M95" s="36"/>
    </row>
    <row r="96" spans="1:13" x14ac:dyDescent="0.3">
      <c r="E96" s="17" t="s">
        <v>513</v>
      </c>
      <c r="F96" s="1" t="s">
        <v>1526</v>
      </c>
      <c r="G96" s="1" t="s">
        <v>1165</v>
      </c>
      <c r="H96" s="18">
        <v>150</v>
      </c>
      <c r="I96" s="27">
        <v>0.3</v>
      </c>
      <c r="J96" s="45">
        <f t="shared" si="2"/>
        <v>214.28571428571431</v>
      </c>
      <c r="K96" s="18">
        <f t="shared" si="3"/>
        <v>64.285714285714306</v>
      </c>
      <c r="L96" s="1" t="s">
        <v>508</v>
      </c>
      <c r="M96" s="17"/>
    </row>
    <row r="97" spans="1:13" x14ac:dyDescent="0.3">
      <c r="A97" s="1">
        <v>1</v>
      </c>
      <c r="E97" s="17" t="s">
        <v>574</v>
      </c>
      <c r="F97" s="1" t="s">
        <v>630</v>
      </c>
      <c r="G97" s="1" t="s">
        <v>1165</v>
      </c>
      <c r="H97" s="20">
        <v>175</v>
      </c>
      <c r="I97" s="27">
        <v>0.3</v>
      </c>
      <c r="J97" s="45">
        <f t="shared" si="2"/>
        <v>250.00000000000003</v>
      </c>
      <c r="K97" s="18">
        <f t="shared" si="3"/>
        <v>75.000000000000028</v>
      </c>
      <c r="L97" s="1" t="s">
        <v>508</v>
      </c>
      <c r="M97" s="17"/>
    </row>
    <row r="98" spans="1:13" x14ac:dyDescent="0.3">
      <c r="A98" s="1">
        <v>0</v>
      </c>
      <c r="E98" s="17" t="s">
        <v>514</v>
      </c>
      <c r="F98" s="1" t="s">
        <v>1527</v>
      </c>
      <c r="G98" s="1" t="s">
        <v>1174</v>
      </c>
      <c r="H98" s="18">
        <v>160</v>
      </c>
      <c r="I98" s="27">
        <v>0.3</v>
      </c>
      <c r="J98" s="45">
        <f t="shared" si="2"/>
        <v>228.57142857142858</v>
      </c>
      <c r="K98" s="18">
        <f t="shared" si="3"/>
        <v>68.571428571428584</v>
      </c>
      <c r="L98" s="1" t="s">
        <v>508</v>
      </c>
      <c r="M98" s="17"/>
    </row>
    <row r="99" spans="1:13" x14ac:dyDescent="0.3">
      <c r="A99" s="1">
        <v>2</v>
      </c>
      <c r="E99" s="17" t="s">
        <v>575</v>
      </c>
      <c r="F99" s="1" t="s">
        <v>1068</v>
      </c>
      <c r="G99" s="1" t="s">
        <v>1174</v>
      </c>
      <c r="H99" s="18">
        <v>155</v>
      </c>
      <c r="I99" s="27">
        <v>0.3</v>
      </c>
      <c r="J99" s="45">
        <f t="shared" si="2"/>
        <v>221.42857142857144</v>
      </c>
      <c r="K99" s="18">
        <f t="shared" si="3"/>
        <v>66.428571428571445</v>
      </c>
      <c r="L99" s="1" t="s">
        <v>508</v>
      </c>
      <c r="M99" s="17"/>
    </row>
    <row r="100" spans="1:13" x14ac:dyDescent="0.3">
      <c r="E100" s="17" t="s">
        <v>576</v>
      </c>
      <c r="F100" s="1" t="s">
        <v>1496</v>
      </c>
      <c r="G100" s="1" t="s">
        <v>1163</v>
      </c>
      <c r="H100" s="20">
        <v>185</v>
      </c>
      <c r="I100" s="27">
        <v>0.3</v>
      </c>
      <c r="J100" s="45">
        <f t="shared" si="2"/>
        <v>264.28571428571428</v>
      </c>
      <c r="K100" s="18">
        <f t="shared" si="3"/>
        <v>79.285714285714278</v>
      </c>
      <c r="L100" s="1" t="s">
        <v>508</v>
      </c>
      <c r="M100" s="17"/>
    </row>
    <row r="101" spans="1:13" x14ac:dyDescent="0.3">
      <c r="E101" s="17" t="s">
        <v>538</v>
      </c>
      <c r="F101" s="1" t="s">
        <v>1528</v>
      </c>
      <c r="I101" s="27">
        <v>0.3</v>
      </c>
      <c r="J101" s="45">
        <f t="shared" si="2"/>
        <v>0</v>
      </c>
      <c r="K101" s="18">
        <f t="shared" si="3"/>
        <v>0</v>
      </c>
      <c r="L101" s="1" t="s">
        <v>508</v>
      </c>
      <c r="M101" s="17"/>
    </row>
    <row r="102" spans="1:13" x14ac:dyDescent="0.3">
      <c r="E102" s="17" t="s">
        <v>523</v>
      </c>
      <c r="F102" s="1" t="s">
        <v>1242</v>
      </c>
      <c r="G102" s="1" t="s">
        <v>1174</v>
      </c>
      <c r="H102" s="20">
        <v>115</v>
      </c>
      <c r="I102" s="27">
        <v>0.3</v>
      </c>
      <c r="J102" s="45">
        <f t="shared" si="2"/>
        <v>164.28571428571431</v>
      </c>
      <c r="K102" s="18">
        <f t="shared" si="3"/>
        <v>49.285714285714306</v>
      </c>
      <c r="L102" s="1" t="s">
        <v>508</v>
      </c>
      <c r="M102" s="17"/>
    </row>
    <row r="103" spans="1:13" x14ac:dyDescent="0.3">
      <c r="A103" s="1">
        <v>1</v>
      </c>
      <c r="E103" s="17" t="s">
        <v>583</v>
      </c>
      <c r="F103" s="1" t="s">
        <v>1529</v>
      </c>
      <c r="G103" s="1" t="s">
        <v>1176</v>
      </c>
      <c r="H103" s="18">
        <v>165</v>
      </c>
      <c r="I103" s="27">
        <v>0.3</v>
      </c>
      <c r="J103" s="45">
        <f t="shared" si="2"/>
        <v>235.71428571428572</v>
      </c>
      <c r="K103" s="18">
        <f t="shared" si="3"/>
        <v>70.714285714285722</v>
      </c>
      <c r="L103" s="1" t="s">
        <v>508</v>
      </c>
      <c r="M103" s="17"/>
    </row>
    <row r="104" spans="1:13" x14ac:dyDescent="0.3">
      <c r="A104" s="1">
        <v>1</v>
      </c>
      <c r="E104" s="17" t="s">
        <v>577</v>
      </c>
      <c r="F104" s="1" t="s">
        <v>1530</v>
      </c>
      <c r="G104" s="1" t="s">
        <v>1176</v>
      </c>
      <c r="H104" s="18">
        <v>165</v>
      </c>
      <c r="I104" s="27">
        <v>0.3</v>
      </c>
      <c r="J104" s="45">
        <f t="shared" si="2"/>
        <v>235.71428571428572</v>
      </c>
      <c r="K104" s="18">
        <f t="shared" si="3"/>
        <v>70.714285714285722</v>
      </c>
      <c r="L104" s="1" t="s">
        <v>508</v>
      </c>
      <c r="M104" s="17"/>
    </row>
    <row r="105" spans="1:13" x14ac:dyDescent="0.3">
      <c r="A105" s="1" t="s">
        <v>1435</v>
      </c>
      <c r="E105" s="17" t="s">
        <v>532</v>
      </c>
      <c r="F105" s="1" t="s">
        <v>533</v>
      </c>
      <c r="H105" s="18">
        <v>185</v>
      </c>
      <c r="I105" s="27">
        <v>0.3</v>
      </c>
      <c r="J105" s="45">
        <f t="shared" si="2"/>
        <v>264.28571428571428</v>
      </c>
      <c r="K105" s="18">
        <f t="shared" ref="K105:K111" si="4">J105-H105</f>
        <v>79.285714285714278</v>
      </c>
      <c r="L105" s="1" t="s">
        <v>508</v>
      </c>
      <c r="M105" s="17"/>
    </row>
    <row r="106" spans="1:13" x14ac:dyDescent="0.3">
      <c r="A106" s="1">
        <v>2</v>
      </c>
      <c r="E106" s="17" t="s">
        <v>1292</v>
      </c>
      <c r="F106" s="1" t="s">
        <v>1497</v>
      </c>
      <c r="G106" s="1" t="s">
        <v>1163</v>
      </c>
      <c r="H106" s="20">
        <v>165</v>
      </c>
      <c r="I106" s="27">
        <v>0.3</v>
      </c>
      <c r="J106" s="45">
        <f t="shared" si="2"/>
        <v>235.71428571428572</v>
      </c>
      <c r="K106" s="18">
        <f t="shared" si="4"/>
        <v>70.714285714285722</v>
      </c>
      <c r="L106" s="1" t="s">
        <v>508</v>
      </c>
      <c r="M106" s="17"/>
    </row>
    <row r="107" spans="1:13" x14ac:dyDescent="0.3">
      <c r="A107" s="1">
        <v>1</v>
      </c>
      <c r="E107" s="17" t="s">
        <v>1293</v>
      </c>
      <c r="F107" s="1" t="s">
        <v>1498</v>
      </c>
      <c r="G107" s="1" t="s">
        <v>1174</v>
      </c>
      <c r="H107" s="20">
        <v>185</v>
      </c>
      <c r="I107" s="27">
        <v>0.3</v>
      </c>
      <c r="J107" s="45">
        <f t="shared" si="2"/>
        <v>264.28571428571428</v>
      </c>
      <c r="K107" s="18">
        <f t="shared" si="4"/>
        <v>79.285714285714278</v>
      </c>
      <c r="L107" s="1" t="s">
        <v>508</v>
      </c>
      <c r="M107" s="17"/>
    </row>
    <row r="108" spans="1:13" x14ac:dyDescent="0.3">
      <c r="A108" s="1">
        <v>1</v>
      </c>
      <c r="E108" s="17" t="s">
        <v>1336</v>
      </c>
      <c r="F108" s="1" t="s">
        <v>1531</v>
      </c>
      <c r="G108" s="1" t="s">
        <v>1174</v>
      </c>
      <c r="H108" s="18">
        <v>145</v>
      </c>
      <c r="I108" s="27">
        <v>0.3</v>
      </c>
      <c r="J108" s="45">
        <f t="shared" si="2"/>
        <v>207.14285714285717</v>
      </c>
      <c r="K108" s="18">
        <f t="shared" si="4"/>
        <v>62.142857142857167</v>
      </c>
      <c r="L108" s="1" t="s">
        <v>508</v>
      </c>
      <c r="M108" s="17"/>
    </row>
    <row r="109" spans="1:13" x14ac:dyDescent="0.3">
      <c r="A109" s="1">
        <v>2</v>
      </c>
      <c r="E109" s="17" t="s">
        <v>1337</v>
      </c>
      <c r="F109" s="1" t="s">
        <v>1532</v>
      </c>
      <c r="G109" s="1" t="s">
        <v>1163</v>
      </c>
      <c r="H109" s="18">
        <v>150</v>
      </c>
      <c r="I109" s="27">
        <v>0.3</v>
      </c>
      <c r="J109" s="45">
        <f t="shared" si="2"/>
        <v>214.28571428571431</v>
      </c>
      <c r="K109" s="18">
        <f t="shared" si="4"/>
        <v>64.285714285714306</v>
      </c>
      <c r="L109" s="1" t="s">
        <v>508</v>
      </c>
      <c r="M109" s="17"/>
    </row>
    <row r="110" spans="1:13" x14ac:dyDescent="0.3">
      <c r="A110" s="1">
        <v>1</v>
      </c>
      <c r="E110" s="17" t="s">
        <v>1294</v>
      </c>
      <c r="F110" s="1" t="s">
        <v>1295</v>
      </c>
      <c r="G110" s="1" t="s">
        <v>1174</v>
      </c>
      <c r="H110" s="20">
        <v>195</v>
      </c>
      <c r="I110" s="27">
        <v>0.3</v>
      </c>
      <c r="J110" s="45">
        <f t="shared" si="2"/>
        <v>278.57142857142861</v>
      </c>
      <c r="K110" s="18">
        <f t="shared" si="4"/>
        <v>83.571428571428612</v>
      </c>
      <c r="L110" s="1" t="s">
        <v>508</v>
      </c>
      <c r="M110" s="17"/>
    </row>
    <row r="111" spans="1:13" x14ac:dyDescent="0.3">
      <c r="A111" s="1">
        <v>1</v>
      </c>
      <c r="E111" s="17" t="s">
        <v>1296</v>
      </c>
      <c r="F111" s="1" t="s">
        <v>1499</v>
      </c>
      <c r="G111" s="1" t="s">
        <v>1163</v>
      </c>
      <c r="H111" s="20">
        <v>215</v>
      </c>
      <c r="I111" s="27">
        <v>0.3</v>
      </c>
      <c r="J111" s="45">
        <f t="shared" si="2"/>
        <v>307.14285714285717</v>
      </c>
      <c r="K111" s="18">
        <f t="shared" si="4"/>
        <v>92.142857142857167</v>
      </c>
      <c r="L111" s="1" t="s">
        <v>508</v>
      </c>
      <c r="M111" s="17"/>
    </row>
    <row r="112" spans="1:13" x14ac:dyDescent="0.3">
      <c r="E112" s="17" t="s">
        <v>509</v>
      </c>
      <c r="F112" s="1" t="s">
        <v>510</v>
      </c>
      <c r="H112" s="20">
        <v>260</v>
      </c>
      <c r="I112" s="27">
        <v>0.3</v>
      </c>
      <c r="J112" s="45">
        <f t="shared" si="2"/>
        <v>371.42857142857144</v>
      </c>
      <c r="K112" s="18">
        <f t="shared" si="3"/>
        <v>111.42857142857144</v>
      </c>
      <c r="L112" s="1" t="s">
        <v>508</v>
      </c>
      <c r="M112" s="17"/>
    </row>
    <row r="113" spans="1:14" x14ac:dyDescent="0.3">
      <c r="A113" s="1">
        <v>1</v>
      </c>
      <c r="E113" s="17" t="s">
        <v>578</v>
      </c>
      <c r="F113" s="1" t="s">
        <v>1546</v>
      </c>
      <c r="H113" s="18">
        <v>165</v>
      </c>
      <c r="I113" s="27">
        <v>0.3</v>
      </c>
      <c r="J113" s="45">
        <f t="shared" si="2"/>
        <v>235.71428571428572</v>
      </c>
      <c r="K113" s="18">
        <f t="shared" si="3"/>
        <v>70.714285714285722</v>
      </c>
      <c r="L113" s="1" t="s">
        <v>508</v>
      </c>
      <c r="M113" s="17"/>
      <c r="N113" s="1">
        <v>250</v>
      </c>
    </row>
    <row r="114" spans="1:14" x14ac:dyDescent="0.3">
      <c r="A114" s="1">
        <v>1</v>
      </c>
      <c r="E114" s="17" t="s">
        <v>559</v>
      </c>
      <c r="F114" s="1" t="s">
        <v>635</v>
      </c>
      <c r="G114" s="1" t="s">
        <v>1174</v>
      </c>
      <c r="H114" s="18">
        <v>165</v>
      </c>
      <c r="I114" s="27">
        <v>0.3</v>
      </c>
      <c r="J114" s="45">
        <f t="shared" si="2"/>
        <v>235.71428571428572</v>
      </c>
      <c r="K114" s="18">
        <f t="shared" si="3"/>
        <v>70.714285714285722</v>
      </c>
      <c r="L114" s="1" t="s">
        <v>508</v>
      </c>
      <c r="M114" s="17"/>
    </row>
    <row r="115" spans="1:14" x14ac:dyDescent="0.3">
      <c r="A115" s="1">
        <v>1</v>
      </c>
      <c r="E115" s="17" t="s">
        <v>511</v>
      </c>
      <c r="F115" s="1" t="s">
        <v>1537</v>
      </c>
      <c r="G115" s="1" t="s">
        <v>1163</v>
      </c>
      <c r="H115" s="18">
        <v>285</v>
      </c>
      <c r="I115" s="27">
        <v>0.3</v>
      </c>
      <c r="J115" s="45">
        <f t="shared" si="2"/>
        <v>407.14285714285717</v>
      </c>
      <c r="K115" s="18">
        <f t="shared" si="3"/>
        <v>122.14285714285717</v>
      </c>
      <c r="L115" s="1" t="s">
        <v>508</v>
      </c>
      <c r="M115" s="17"/>
    </row>
    <row r="116" spans="1:14" x14ac:dyDescent="0.3">
      <c r="A116" s="1">
        <v>1</v>
      </c>
      <c r="E116" s="17" t="s">
        <v>549</v>
      </c>
      <c r="F116" s="1" t="s">
        <v>1538</v>
      </c>
      <c r="H116" s="18">
        <v>370</v>
      </c>
      <c r="I116" s="27">
        <v>0.3</v>
      </c>
      <c r="J116" s="45">
        <f t="shared" si="2"/>
        <v>528.57142857142856</v>
      </c>
      <c r="K116" s="18">
        <f t="shared" si="3"/>
        <v>158.57142857142856</v>
      </c>
      <c r="L116" s="1" t="s">
        <v>508</v>
      </c>
      <c r="M116" s="17"/>
    </row>
    <row r="117" spans="1:14" x14ac:dyDescent="0.3">
      <c r="A117" s="1">
        <v>1</v>
      </c>
      <c r="E117" s="17" t="s">
        <v>550</v>
      </c>
      <c r="F117" s="1" t="s">
        <v>1539</v>
      </c>
      <c r="H117" s="18">
        <v>285</v>
      </c>
      <c r="I117" s="27">
        <v>0.3</v>
      </c>
      <c r="J117" s="45">
        <f t="shared" si="2"/>
        <v>407.14285714285717</v>
      </c>
      <c r="K117" s="18">
        <f t="shared" si="3"/>
        <v>122.14285714285717</v>
      </c>
      <c r="L117" s="1" t="s">
        <v>508</v>
      </c>
      <c r="M117" s="17"/>
    </row>
    <row r="118" spans="1:14" x14ac:dyDescent="0.3">
      <c r="E118" s="17" t="s">
        <v>581</v>
      </c>
      <c r="F118" s="1" t="s">
        <v>1541</v>
      </c>
      <c r="G118" s="1" t="s">
        <v>1165</v>
      </c>
      <c r="H118" s="18">
        <v>265</v>
      </c>
      <c r="I118" s="27">
        <v>0.3</v>
      </c>
      <c r="J118" s="45">
        <f t="shared" si="2"/>
        <v>378.57142857142861</v>
      </c>
      <c r="K118" s="18">
        <f t="shared" si="3"/>
        <v>113.57142857142861</v>
      </c>
      <c r="L118" s="1" t="s">
        <v>508</v>
      </c>
      <c r="M118" s="17"/>
    </row>
    <row r="119" spans="1:14" x14ac:dyDescent="0.3">
      <c r="A119" s="1">
        <v>1</v>
      </c>
      <c r="E119" s="17" t="s">
        <v>551</v>
      </c>
      <c r="F119" s="1" t="s">
        <v>552</v>
      </c>
      <c r="G119" s="1" t="s">
        <v>1163</v>
      </c>
      <c r="H119" s="20">
        <v>275</v>
      </c>
      <c r="I119" s="27">
        <v>0.3</v>
      </c>
      <c r="J119" s="45">
        <f t="shared" si="2"/>
        <v>392.85714285714289</v>
      </c>
      <c r="K119" s="18">
        <f t="shared" si="3"/>
        <v>117.85714285714289</v>
      </c>
      <c r="L119" s="1" t="s">
        <v>508</v>
      </c>
      <c r="M119" s="17"/>
    </row>
    <row r="120" spans="1:14" x14ac:dyDescent="0.3">
      <c r="E120" s="17" t="s">
        <v>553</v>
      </c>
      <c r="F120" s="1" t="s">
        <v>1533</v>
      </c>
      <c r="H120" s="18">
        <v>315</v>
      </c>
      <c r="I120" s="27">
        <v>0.3</v>
      </c>
      <c r="J120" s="45">
        <f t="shared" si="2"/>
        <v>450.00000000000006</v>
      </c>
      <c r="K120" s="18">
        <f t="shared" si="3"/>
        <v>135.00000000000006</v>
      </c>
      <c r="L120" s="1" t="s">
        <v>508</v>
      </c>
      <c r="M120" s="17"/>
    </row>
    <row r="121" spans="1:14" x14ac:dyDescent="0.3">
      <c r="A121" s="1">
        <v>1</v>
      </c>
      <c r="E121" s="17" t="s">
        <v>554</v>
      </c>
      <c r="F121" s="1" t="s">
        <v>1534</v>
      </c>
      <c r="G121" s="1" t="s">
        <v>1165</v>
      </c>
      <c r="H121" s="18">
        <v>315</v>
      </c>
      <c r="I121" s="27">
        <v>0.3</v>
      </c>
      <c r="J121" s="45">
        <f t="shared" si="2"/>
        <v>450.00000000000006</v>
      </c>
      <c r="K121" s="18">
        <f t="shared" si="3"/>
        <v>135.00000000000006</v>
      </c>
      <c r="L121" s="1" t="s">
        <v>508</v>
      </c>
      <c r="M121" s="17"/>
    </row>
    <row r="122" spans="1:14" x14ac:dyDescent="0.3">
      <c r="A122" s="1">
        <v>1</v>
      </c>
      <c r="E122" s="17" t="s">
        <v>555</v>
      </c>
      <c r="F122" s="1" t="s">
        <v>1535</v>
      </c>
      <c r="G122" s="1" t="s">
        <v>1165</v>
      </c>
      <c r="H122" s="18">
        <v>315</v>
      </c>
      <c r="I122" s="27">
        <v>0.3</v>
      </c>
      <c r="J122" s="45">
        <f t="shared" si="2"/>
        <v>450.00000000000006</v>
      </c>
      <c r="K122" s="18">
        <f t="shared" si="3"/>
        <v>135.00000000000006</v>
      </c>
      <c r="L122" s="1" t="s">
        <v>508</v>
      </c>
      <c r="M122" s="17"/>
    </row>
    <row r="123" spans="1:14" x14ac:dyDescent="0.3">
      <c r="E123" s="17" t="s">
        <v>556</v>
      </c>
      <c r="F123" s="1" t="s">
        <v>1536</v>
      </c>
      <c r="H123" s="18">
        <v>285</v>
      </c>
      <c r="I123" s="27">
        <v>0.3</v>
      </c>
      <c r="J123" s="45">
        <f t="shared" si="2"/>
        <v>407.14285714285717</v>
      </c>
      <c r="K123" s="18">
        <f t="shared" si="3"/>
        <v>122.14285714285717</v>
      </c>
      <c r="L123" s="1" t="s">
        <v>508</v>
      </c>
      <c r="M123" s="17"/>
    </row>
    <row r="124" spans="1:14" x14ac:dyDescent="0.3">
      <c r="A124" s="1">
        <v>2</v>
      </c>
      <c r="E124" s="17" t="s">
        <v>535</v>
      </c>
      <c r="F124" s="1" t="s">
        <v>1544</v>
      </c>
      <c r="G124" s="1" t="s">
        <v>1176</v>
      </c>
      <c r="H124" s="18">
        <v>315</v>
      </c>
      <c r="I124" s="27">
        <v>0.3</v>
      </c>
      <c r="J124" s="45">
        <f t="shared" si="2"/>
        <v>450.00000000000006</v>
      </c>
      <c r="K124" s="18">
        <f t="shared" si="3"/>
        <v>135.00000000000006</v>
      </c>
      <c r="L124" s="1" t="s">
        <v>508</v>
      </c>
      <c r="M124" s="36"/>
    </row>
    <row r="125" spans="1:14" x14ac:dyDescent="0.3">
      <c r="A125" s="1">
        <v>1</v>
      </c>
      <c r="E125" s="17" t="s">
        <v>579</v>
      </c>
      <c r="F125" s="1" t="s">
        <v>1543</v>
      </c>
      <c r="G125" s="1" t="s">
        <v>1165</v>
      </c>
      <c r="H125" s="18">
        <v>250</v>
      </c>
      <c r="I125" s="27">
        <v>0.3</v>
      </c>
      <c r="J125" s="45">
        <f t="shared" si="2"/>
        <v>357.14285714285717</v>
      </c>
      <c r="K125" s="18">
        <f t="shared" si="3"/>
        <v>107.14285714285717</v>
      </c>
      <c r="L125" s="1" t="s">
        <v>508</v>
      </c>
      <c r="M125" s="17">
        <v>340</v>
      </c>
    </row>
    <row r="126" spans="1:14" x14ac:dyDescent="0.3">
      <c r="E126" s="17" t="s">
        <v>557</v>
      </c>
      <c r="F126" s="1" t="s">
        <v>1414</v>
      </c>
      <c r="G126" s="1" t="s">
        <v>1163</v>
      </c>
      <c r="H126" s="18">
        <v>285</v>
      </c>
      <c r="I126" s="27">
        <v>0.3</v>
      </c>
      <c r="J126" s="45">
        <f t="shared" si="2"/>
        <v>407.14285714285717</v>
      </c>
      <c r="K126" s="18">
        <f t="shared" si="3"/>
        <v>122.14285714285717</v>
      </c>
      <c r="L126" s="1" t="s">
        <v>508</v>
      </c>
      <c r="M126" s="17"/>
    </row>
    <row r="127" spans="1:14" x14ac:dyDescent="0.3">
      <c r="A127" s="1">
        <v>1</v>
      </c>
      <c r="E127" s="17" t="s">
        <v>558</v>
      </c>
      <c r="F127" s="1" t="s">
        <v>1545</v>
      </c>
      <c r="H127" s="18">
        <v>250</v>
      </c>
      <c r="I127" s="27">
        <v>0.3</v>
      </c>
      <c r="J127" s="45">
        <f t="shared" si="2"/>
        <v>357.14285714285717</v>
      </c>
      <c r="K127" s="18">
        <f t="shared" si="3"/>
        <v>107.14285714285717</v>
      </c>
      <c r="L127" s="1" t="s">
        <v>508</v>
      </c>
      <c r="M127" s="17"/>
    </row>
    <row r="128" spans="1:14" x14ac:dyDescent="0.3">
      <c r="D128" s="1">
        <v>3</v>
      </c>
      <c r="E128" s="17" t="s">
        <v>615</v>
      </c>
      <c r="F128" s="1" t="s">
        <v>1334</v>
      </c>
      <c r="G128" s="1" t="s">
        <v>1174</v>
      </c>
      <c r="H128" s="20">
        <v>130</v>
      </c>
      <c r="I128" s="27">
        <v>0.3</v>
      </c>
      <c r="J128" s="45">
        <f t="shared" si="2"/>
        <v>185.71428571428572</v>
      </c>
      <c r="K128" s="18">
        <f t="shared" si="3"/>
        <v>55.714285714285722</v>
      </c>
      <c r="L128" s="1" t="s">
        <v>508</v>
      </c>
      <c r="M128" s="17"/>
    </row>
    <row r="129" spans="1:14" x14ac:dyDescent="0.3">
      <c r="A129" s="1">
        <v>1</v>
      </c>
      <c r="E129" s="17" t="s">
        <v>1332</v>
      </c>
      <c r="F129" s="1" t="s">
        <v>1542</v>
      </c>
      <c r="G129" s="1" t="s">
        <v>1165</v>
      </c>
      <c r="H129" s="18">
        <v>290</v>
      </c>
      <c r="I129" s="27">
        <v>0.3</v>
      </c>
      <c r="J129" s="45">
        <f t="shared" si="2"/>
        <v>414.28571428571433</v>
      </c>
      <c r="K129" s="18">
        <f t="shared" si="3"/>
        <v>124.28571428571433</v>
      </c>
      <c r="L129" s="1" t="s">
        <v>508</v>
      </c>
      <c r="M129" s="17"/>
    </row>
    <row r="130" spans="1:14" hidden="1" x14ac:dyDescent="0.3">
      <c r="A130" s="1">
        <v>2</v>
      </c>
      <c r="F130" s="1" t="s">
        <v>606</v>
      </c>
      <c r="G130" s="1" t="s">
        <v>1165</v>
      </c>
      <c r="H130" s="18">
        <v>190</v>
      </c>
      <c r="I130" s="27">
        <v>0.3</v>
      </c>
      <c r="J130" s="45">
        <f t="shared" si="2"/>
        <v>271.42857142857144</v>
      </c>
      <c r="K130" s="18">
        <f t="shared" si="3"/>
        <v>81.428571428571445</v>
      </c>
      <c r="L130" s="1" t="s">
        <v>604</v>
      </c>
      <c r="M130" s="17"/>
    </row>
    <row r="131" spans="1:14" hidden="1" x14ac:dyDescent="0.3">
      <c r="B131" s="1" t="s">
        <v>1164</v>
      </c>
      <c r="F131" s="1" t="s">
        <v>1360</v>
      </c>
      <c r="G131" s="1" t="s">
        <v>1165</v>
      </c>
      <c r="H131" s="18">
        <v>170</v>
      </c>
      <c r="I131" s="27">
        <v>0.3</v>
      </c>
      <c r="J131" s="45">
        <f t="shared" si="2"/>
        <v>242.85714285714286</v>
      </c>
      <c r="K131" s="18">
        <f t="shared" si="3"/>
        <v>72.857142857142861</v>
      </c>
      <c r="L131" s="1" t="s">
        <v>604</v>
      </c>
      <c r="M131" s="17"/>
    </row>
    <row r="132" spans="1:14" hidden="1" x14ac:dyDescent="0.3">
      <c r="B132" s="33">
        <v>96208781</v>
      </c>
      <c r="C132" s="33"/>
      <c r="D132" s="33"/>
      <c r="F132" s="1" t="s">
        <v>628</v>
      </c>
      <c r="H132" s="18">
        <v>150</v>
      </c>
      <c r="I132" s="27">
        <v>0.3</v>
      </c>
      <c r="J132" s="45">
        <f t="shared" si="2"/>
        <v>214.28571428571431</v>
      </c>
      <c r="K132" s="18">
        <f t="shared" si="3"/>
        <v>64.285714285714306</v>
      </c>
      <c r="L132" s="1" t="s">
        <v>604</v>
      </c>
      <c r="M132" s="17"/>
    </row>
    <row r="133" spans="1:14" hidden="1" x14ac:dyDescent="0.3">
      <c r="A133" s="1">
        <v>1</v>
      </c>
      <c r="B133" s="1" t="s">
        <v>1166</v>
      </c>
      <c r="F133" s="1" t="s">
        <v>626</v>
      </c>
      <c r="G133" s="1" t="s">
        <v>1163</v>
      </c>
      <c r="H133" s="18">
        <v>190</v>
      </c>
      <c r="I133" s="27">
        <v>0.3</v>
      </c>
      <c r="J133" s="45">
        <f t="shared" si="2"/>
        <v>271.42857142857144</v>
      </c>
      <c r="K133" s="18">
        <f t="shared" si="3"/>
        <v>81.428571428571445</v>
      </c>
      <c r="L133" s="1" t="s">
        <v>604</v>
      </c>
      <c r="M133" s="17">
        <v>250</v>
      </c>
    </row>
    <row r="134" spans="1:14" hidden="1" x14ac:dyDescent="0.3">
      <c r="A134" s="1">
        <v>2</v>
      </c>
      <c r="B134" s="1" t="s">
        <v>1167</v>
      </c>
      <c r="F134" s="1" t="s">
        <v>623</v>
      </c>
      <c r="H134" s="18">
        <v>200</v>
      </c>
      <c r="I134" s="27">
        <v>0.3</v>
      </c>
      <c r="J134" s="45">
        <f t="shared" si="2"/>
        <v>285.71428571428572</v>
      </c>
      <c r="K134" s="18">
        <f t="shared" si="3"/>
        <v>85.714285714285722</v>
      </c>
      <c r="L134" s="1" t="s">
        <v>604</v>
      </c>
      <c r="M134" s="17"/>
    </row>
    <row r="135" spans="1:14" hidden="1" x14ac:dyDescent="0.3">
      <c r="B135" s="1">
        <v>8000534</v>
      </c>
      <c r="F135" s="1" t="s">
        <v>624</v>
      </c>
      <c r="H135" s="18">
        <v>300</v>
      </c>
      <c r="I135" s="27">
        <v>0.3</v>
      </c>
      <c r="J135" s="45">
        <f t="shared" si="2"/>
        <v>428.57142857142861</v>
      </c>
      <c r="K135" s="18">
        <f t="shared" si="3"/>
        <v>128.57142857142861</v>
      </c>
      <c r="L135" s="1" t="s">
        <v>604</v>
      </c>
      <c r="M135" s="17"/>
    </row>
    <row r="136" spans="1:14" x14ac:dyDescent="0.3">
      <c r="E136" s="17"/>
      <c r="F136" s="1" t="s">
        <v>613</v>
      </c>
      <c r="H136" s="20">
        <v>200</v>
      </c>
      <c r="I136" s="27">
        <v>0.3</v>
      </c>
      <c r="J136" s="45">
        <f t="shared" si="2"/>
        <v>285.71428571428572</v>
      </c>
      <c r="K136" s="18">
        <f t="shared" si="3"/>
        <v>85.714285714285722</v>
      </c>
      <c r="L136" s="1" t="s">
        <v>604</v>
      </c>
      <c r="M136" s="17"/>
    </row>
    <row r="137" spans="1:14" hidden="1" x14ac:dyDescent="0.3">
      <c r="B137" s="1">
        <v>2330015700</v>
      </c>
      <c r="F137" s="1" t="s">
        <v>1021</v>
      </c>
      <c r="H137" s="18">
        <v>180</v>
      </c>
      <c r="I137" s="27">
        <v>0.3</v>
      </c>
      <c r="J137" s="45">
        <f t="shared" si="2"/>
        <v>257.14285714285717</v>
      </c>
      <c r="K137" s="18">
        <f t="shared" si="3"/>
        <v>77.142857142857167</v>
      </c>
      <c r="L137" s="1" t="s">
        <v>604</v>
      </c>
      <c r="M137" s="17"/>
    </row>
    <row r="138" spans="1:14" x14ac:dyDescent="0.3">
      <c r="B138" s="33" t="s">
        <v>611</v>
      </c>
      <c r="C138" s="33"/>
      <c r="D138" s="33"/>
      <c r="E138" s="17" t="s">
        <v>1489</v>
      </c>
      <c r="F138" s="17" t="s">
        <v>1175</v>
      </c>
      <c r="H138" s="20">
        <v>320</v>
      </c>
      <c r="I138" s="27">
        <v>0.3</v>
      </c>
      <c r="J138" s="45">
        <f t="shared" si="2"/>
        <v>457.14285714285717</v>
      </c>
      <c r="K138" s="18">
        <f t="shared" si="3"/>
        <v>137.14285714285717</v>
      </c>
      <c r="L138" s="1" t="s">
        <v>604</v>
      </c>
      <c r="M138" s="17"/>
    </row>
    <row r="139" spans="1:14" hidden="1" x14ac:dyDescent="0.3">
      <c r="B139" s="33"/>
      <c r="C139" s="33"/>
      <c r="D139" s="33" t="s">
        <v>1442</v>
      </c>
      <c r="E139" s="1" t="s">
        <v>1461</v>
      </c>
      <c r="F139" s="1" t="s">
        <v>1443</v>
      </c>
      <c r="H139" s="18">
        <v>220</v>
      </c>
      <c r="I139" s="27">
        <v>0.3</v>
      </c>
      <c r="J139" s="45">
        <f t="shared" si="2"/>
        <v>314.28571428571428</v>
      </c>
      <c r="K139" s="18">
        <f t="shared" si="3"/>
        <v>94.285714285714278</v>
      </c>
      <c r="L139" s="1" t="s">
        <v>604</v>
      </c>
      <c r="M139" s="17"/>
      <c r="N139" s="1">
        <v>320</v>
      </c>
    </row>
    <row r="140" spans="1:14" hidden="1" x14ac:dyDescent="0.3">
      <c r="F140" s="1" t="s">
        <v>633</v>
      </c>
      <c r="H140" s="18">
        <v>350</v>
      </c>
      <c r="I140" s="27">
        <v>0.3</v>
      </c>
      <c r="J140" s="45">
        <f t="shared" si="2"/>
        <v>500.00000000000006</v>
      </c>
      <c r="K140" s="18">
        <f t="shared" si="3"/>
        <v>150.00000000000006</v>
      </c>
      <c r="L140" s="1" t="s">
        <v>604</v>
      </c>
      <c r="M140" s="17"/>
    </row>
    <row r="141" spans="1:14" hidden="1" x14ac:dyDescent="0.3">
      <c r="F141" s="1" t="s">
        <v>621</v>
      </c>
      <c r="H141" s="18">
        <v>190</v>
      </c>
      <c r="I141" s="27">
        <v>0.3</v>
      </c>
      <c r="J141" s="45">
        <f t="shared" si="2"/>
        <v>271.42857142857144</v>
      </c>
      <c r="K141" s="18">
        <f t="shared" si="3"/>
        <v>81.428571428571445</v>
      </c>
      <c r="L141" s="1" t="s">
        <v>604</v>
      </c>
      <c r="M141" s="17"/>
    </row>
    <row r="142" spans="1:14" hidden="1" x14ac:dyDescent="0.3">
      <c r="F142" s="1" t="s">
        <v>636</v>
      </c>
      <c r="H142" s="18">
        <v>260</v>
      </c>
      <c r="I142" s="27">
        <v>0.3</v>
      </c>
      <c r="J142" s="45">
        <f t="shared" si="2"/>
        <v>371.42857142857144</v>
      </c>
      <c r="K142" s="18">
        <f t="shared" si="3"/>
        <v>111.42857142857144</v>
      </c>
      <c r="L142" s="1" t="s">
        <v>604</v>
      </c>
      <c r="M142" s="17"/>
    </row>
    <row r="143" spans="1:14" hidden="1" x14ac:dyDescent="0.3">
      <c r="B143" s="33" t="s">
        <v>610</v>
      </c>
      <c r="C143" s="33"/>
      <c r="D143" s="33"/>
      <c r="F143" s="1" t="s">
        <v>1157</v>
      </c>
      <c r="G143" s="1" t="s">
        <v>1163</v>
      </c>
      <c r="H143" s="18">
        <v>380</v>
      </c>
      <c r="I143" s="27">
        <v>0.3</v>
      </c>
      <c r="J143" s="45">
        <f t="shared" si="2"/>
        <v>542.85714285714289</v>
      </c>
      <c r="K143" s="18">
        <f t="shared" si="3"/>
        <v>162.85714285714289</v>
      </c>
      <c r="L143" s="1" t="s">
        <v>604</v>
      </c>
      <c r="M143" s="17"/>
    </row>
    <row r="144" spans="1:14" hidden="1" x14ac:dyDescent="0.3">
      <c r="F144" s="1" t="s">
        <v>1172</v>
      </c>
      <c r="G144" s="1" t="s">
        <v>1176</v>
      </c>
      <c r="H144" s="18">
        <v>300</v>
      </c>
      <c r="I144" s="27">
        <v>0.3</v>
      </c>
      <c r="J144" s="45">
        <f t="shared" si="2"/>
        <v>428.57142857142861</v>
      </c>
      <c r="K144" s="18">
        <f t="shared" si="3"/>
        <v>128.57142857142861</v>
      </c>
      <c r="L144" s="1" t="s">
        <v>604</v>
      </c>
      <c r="M144" s="17"/>
    </row>
    <row r="145" spans="1:13" hidden="1" x14ac:dyDescent="0.3">
      <c r="E145" s="1" t="s">
        <v>1445</v>
      </c>
      <c r="F145" s="1" t="s">
        <v>1444</v>
      </c>
      <c r="H145" s="18">
        <v>190</v>
      </c>
      <c r="I145" s="27">
        <v>0.3</v>
      </c>
      <c r="J145" s="45">
        <f t="shared" si="2"/>
        <v>271.42857142857144</v>
      </c>
      <c r="K145" s="18">
        <f t="shared" si="3"/>
        <v>81.428571428571445</v>
      </c>
      <c r="L145" s="1" t="s">
        <v>604</v>
      </c>
      <c r="M145" s="17"/>
    </row>
    <row r="146" spans="1:13" hidden="1" x14ac:dyDescent="0.3">
      <c r="F146" s="1" t="s">
        <v>1278</v>
      </c>
      <c r="H146" s="18">
        <v>400</v>
      </c>
      <c r="I146" s="27">
        <v>0.3</v>
      </c>
      <c r="J146" s="45">
        <f t="shared" si="2"/>
        <v>571.42857142857144</v>
      </c>
      <c r="K146" s="18">
        <f t="shared" si="3"/>
        <v>171.42857142857144</v>
      </c>
      <c r="L146" s="1" t="s">
        <v>604</v>
      </c>
      <c r="M146" s="17"/>
    </row>
    <row r="147" spans="1:13" hidden="1" x14ac:dyDescent="0.3">
      <c r="F147" s="1" t="s">
        <v>1299</v>
      </c>
      <c r="H147" s="18">
        <v>250</v>
      </c>
      <c r="I147" s="27">
        <v>0.3</v>
      </c>
      <c r="J147" s="45">
        <f t="shared" si="2"/>
        <v>357.14285714285717</v>
      </c>
      <c r="K147" s="18">
        <f t="shared" si="3"/>
        <v>107.14285714285717</v>
      </c>
      <c r="L147" s="1" t="s">
        <v>604</v>
      </c>
      <c r="M147" s="17"/>
    </row>
    <row r="148" spans="1:13" hidden="1" x14ac:dyDescent="0.3">
      <c r="F148" s="1" t="s">
        <v>1274</v>
      </c>
      <c r="H148" s="18">
        <v>150</v>
      </c>
      <c r="I148" s="27">
        <v>0.3</v>
      </c>
      <c r="J148" s="45">
        <f t="shared" si="2"/>
        <v>214.28571428571431</v>
      </c>
      <c r="K148" s="18">
        <f t="shared" si="3"/>
        <v>64.285714285714306</v>
      </c>
      <c r="L148" s="1" t="s">
        <v>604</v>
      </c>
      <c r="M148" s="17"/>
    </row>
    <row r="149" spans="1:13" hidden="1" x14ac:dyDescent="0.3">
      <c r="F149" s="1" t="s">
        <v>1355</v>
      </c>
      <c r="H149" s="18">
        <v>160</v>
      </c>
      <c r="I149" s="27">
        <v>0.3</v>
      </c>
      <c r="J149" s="45">
        <f t="shared" si="2"/>
        <v>228.57142857142858</v>
      </c>
      <c r="K149" s="18">
        <f t="shared" si="3"/>
        <v>68.571428571428584</v>
      </c>
      <c r="L149" s="1" t="s">
        <v>604</v>
      </c>
      <c r="M149" s="17"/>
    </row>
    <row r="150" spans="1:13" hidden="1" x14ac:dyDescent="0.3">
      <c r="F150" s="1" t="s">
        <v>1356</v>
      </c>
      <c r="H150" s="18">
        <v>160</v>
      </c>
      <c r="I150" s="27">
        <v>0.3</v>
      </c>
      <c r="J150" s="45">
        <f t="shared" ref="J150:J173" si="5">H150/(1-I150)</f>
        <v>228.57142857142858</v>
      </c>
      <c r="K150" s="18">
        <f t="shared" si="3"/>
        <v>68.571428571428584</v>
      </c>
      <c r="L150" s="1" t="s">
        <v>604</v>
      </c>
      <c r="M150" s="20">
        <v>220</v>
      </c>
    </row>
    <row r="151" spans="1:13" hidden="1" x14ac:dyDescent="0.3">
      <c r="F151" s="1" t="s">
        <v>1358</v>
      </c>
      <c r="H151" s="18">
        <v>290</v>
      </c>
      <c r="I151" s="27">
        <v>0.3</v>
      </c>
      <c r="J151" s="45">
        <f t="shared" si="5"/>
        <v>414.28571428571433</v>
      </c>
      <c r="K151" s="18">
        <f t="shared" ref="K151:K159" si="6">J151-H151</f>
        <v>124.28571428571433</v>
      </c>
      <c r="L151" s="1" t="s">
        <v>604</v>
      </c>
      <c r="M151" s="17"/>
    </row>
    <row r="152" spans="1:13" hidden="1" x14ac:dyDescent="0.3">
      <c r="F152" s="1" t="s">
        <v>1428</v>
      </c>
      <c r="H152" s="18">
        <v>290</v>
      </c>
      <c r="I152" s="27">
        <v>0.3</v>
      </c>
      <c r="J152" s="45">
        <f t="shared" si="5"/>
        <v>414.28571428571433</v>
      </c>
      <c r="K152" s="18">
        <f t="shared" si="6"/>
        <v>124.28571428571433</v>
      </c>
      <c r="L152" s="1" t="s">
        <v>604</v>
      </c>
      <c r="M152" s="17"/>
    </row>
    <row r="153" spans="1:13" hidden="1" x14ac:dyDescent="0.3">
      <c r="F153" s="1" t="s">
        <v>1430</v>
      </c>
      <c r="G153" s="1" t="s">
        <v>1174</v>
      </c>
      <c r="H153" s="18">
        <v>180</v>
      </c>
      <c r="I153" s="27">
        <v>0.2</v>
      </c>
      <c r="J153" s="45">
        <f t="shared" si="5"/>
        <v>225</v>
      </c>
      <c r="K153" s="18">
        <f t="shared" si="6"/>
        <v>45</v>
      </c>
      <c r="L153" s="1" t="s">
        <v>604</v>
      </c>
      <c r="M153" s="17"/>
    </row>
    <row r="154" spans="1:13" x14ac:dyDescent="0.3">
      <c r="D154" s="17" t="s">
        <v>1491</v>
      </c>
      <c r="E154" s="17" t="s">
        <v>1492</v>
      </c>
      <c r="F154" s="1" t="s">
        <v>1490</v>
      </c>
      <c r="G154" s="1">
        <v>10</v>
      </c>
      <c r="H154" s="20">
        <v>180</v>
      </c>
      <c r="I154" s="27">
        <v>0.3</v>
      </c>
      <c r="J154" s="45">
        <f t="shared" si="5"/>
        <v>257.14285714285717</v>
      </c>
      <c r="K154" s="18">
        <f t="shared" si="6"/>
        <v>77.142857142857167</v>
      </c>
      <c r="L154" s="1" t="s">
        <v>604</v>
      </c>
      <c r="M154" s="17"/>
    </row>
    <row r="155" spans="1:13" hidden="1" x14ac:dyDescent="0.3">
      <c r="G155" s="1" t="s">
        <v>1165</v>
      </c>
      <c r="H155" s="18">
        <v>290</v>
      </c>
      <c r="I155" s="27">
        <v>0.3</v>
      </c>
      <c r="J155" s="45">
        <f t="shared" si="5"/>
        <v>414.28571428571433</v>
      </c>
      <c r="K155" s="18">
        <f t="shared" si="6"/>
        <v>124.28571428571433</v>
      </c>
      <c r="L155" s="1" t="s">
        <v>604</v>
      </c>
      <c r="M155" s="17"/>
    </row>
    <row r="156" spans="1:13" hidden="1" x14ac:dyDescent="0.3">
      <c r="G156" s="1" t="s">
        <v>1165</v>
      </c>
      <c r="H156" s="18">
        <v>260</v>
      </c>
      <c r="I156" s="27">
        <v>0.3</v>
      </c>
      <c r="J156" s="45">
        <f t="shared" si="5"/>
        <v>371.42857142857144</v>
      </c>
      <c r="K156" s="18">
        <f t="shared" si="6"/>
        <v>111.42857142857144</v>
      </c>
      <c r="L156" s="1" t="s">
        <v>604</v>
      </c>
      <c r="M156" s="17"/>
    </row>
    <row r="157" spans="1:13" hidden="1" x14ac:dyDescent="0.3">
      <c r="H157" s="18">
        <v>200</v>
      </c>
      <c r="I157" s="27">
        <v>0.3</v>
      </c>
      <c r="J157" s="45">
        <f t="shared" si="5"/>
        <v>285.71428571428572</v>
      </c>
      <c r="K157" s="18">
        <f t="shared" si="6"/>
        <v>85.714285714285722</v>
      </c>
      <c r="L157" s="1" t="s">
        <v>604</v>
      </c>
      <c r="M157" s="17"/>
    </row>
    <row r="158" spans="1:13" hidden="1" x14ac:dyDescent="0.3">
      <c r="H158" s="18">
        <v>0</v>
      </c>
      <c r="I158" s="27">
        <v>0.3</v>
      </c>
      <c r="J158" s="45">
        <f t="shared" si="5"/>
        <v>0</v>
      </c>
      <c r="K158" s="18">
        <f t="shared" si="6"/>
        <v>0</v>
      </c>
    </row>
    <row r="159" spans="1:13" hidden="1" x14ac:dyDescent="0.3">
      <c r="A159" s="1">
        <v>1</v>
      </c>
      <c r="G159" s="1" t="s">
        <v>1201</v>
      </c>
      <c r="H159" s="18">
        <v>320</v>
      </c>
      <c r="I159" s="27">
        <v>0.3</v>
      </c>
      <c r="J159" s="45">
        <f t="shared" si="5"/>
        <v>457.14285714285717</v>
      </c>
      <c r="K159" s="18">
        <f t="shared" si="6"/>
        <v>137.14285714285717</v>
      </c>
    </row>
    <row r="160" spans="1:13" hidden="1" x14ac:dyDescent="0.3">
      <c r="A160" s="1">
        <v>1</v>
      </c>
      <c r="E160" s="1" t="s">
        <v>608</v>
      </c>
      <c r="G160" s="1" t="s">
        <v>1163</v>
      </c>
      <c r="H160" s="18">
        <v>270</v>
      </c>
      <c r="I160" s="27">
        <v>0.2</v>
      </c>
      <c r="J160" s="45">
        <f t="shared" si="5"/>
        <v>337.5</v>
      </c>
      <c r="K160" s="18">
        <f>J160-H160</f>
        <v>67.5</v>
      </c>
      <c r="L160" s="1" t="s">
        <v>604</v>
      </c>
      <c r="M160" s="20">
        <v>350</v>
      </c>
    </row>
    <row r="161" spans="1:13" hidden="1" x14ac:dyDescent="0.3">
      <c r="A161" s="1">
        <v>1</v>
      </c>
      <c r="E161" s="1" t="s">
        <v>607</v>
      </c>
      <c r="G161" s="1" t="s">
        <v>1163</v>
      </c>
      <c r="H161" s="18">
        <v>180</v>
      </c>
      <c r="I161" s="27">
        <v>0.3</v>
      </c>
      <c r="J161" s="45">
        <f t="shared" si="5"/>
        <v>257.14285714285717</v>
      </c>
      <c r="K161" s="18">
        <f>J161-H161</f>
        <v>77.142857142857167</v>
      </c>
      <c r="L161" s="1" t="s">
        <v>604</v>
      </c>
      <c r="M161" s="17"/>
    </row>
    <row r="162" spans="1:13" hidden="1" x14ac:dyDescent="0.3">
      <c r="E162" s="1" t="s">
        <v>612</v>
      </c>
      <c r="G162" s="1" t="s">
        <v>1176</v>
      </c>
      <c r="H162" s="18">
        <v>290</v>
      </c>
      <c r="I162" s="27">
        <v>0.3</v>
      </c>
      <c r="J162" s="45">
        <f t="shared" si="5"/>
        <v>414.28571428571433</v>
      </c>
      <c r="K162" s="18">
        <f>J162-H162</f>
        <v>124.28571428571433</v>
      </c>
      <c r="L162" s="1" t="s">
        <v>604</v>
      </c>
      <c r="M162" s="36"/>
    </row>
    <row r="163" spans="1:13" hidden="1" x14ac:dyDescent="0.3">
      <c r="B163" s="1" t="s">
        <v>1156</v>
      </c>
      <c r="F163" s="1" t="s">
        <v>1473</v>
      </c>
      <c r="G163" s="1" t="s">
        <v>1163</v>
      </c>
      <c r="H163" s="17">
        <v>200</v>
      </c>
      <c r="I163" s="27">
        <v>0.3</v>
      </c>
      <c r="J163" s="45">
        <f t="shared" si="5"/>
        <v>285.71428571428572</v>
      </c>
      <c r="K163" s="18">
        <f t="shared" ref="K163:K173" si="7">J163-H163</f>
        <v>85.714285714285722</v>
      </c>
      <c r="L163" s="1" t="s">
        <v>604</v>
      </c>
    </row>
    <row r="164" spans="1:13" hidden="1" x14ac:dyDescent="0.3">
      <c r="I164" s="27">
        <v>0.3</v>
      </c>
      <c r="J164" s="45">
        <f t="shared" si="5"/>
        <v>0</v>
      </c>
      <c r="K164" s="18">
        <f t="shared" si="7"/>
        <v>0</v>
      </c>
      <c r="L164" s="1" t="s">
        <v>604</v>
      </c>
    </row>
    <row r="165" spans="1:13" hidden="1" x14ac:dyDescent="0.3">
      <c r="B165" s="1" t="s">
        <v>1277</v>
      </c>
      <c r="G165" s="39" t="s">
        <v>1174</v>
      </c>
      <c r="H165" s="28">
        <v>150</v>
      </c>
      <c r="I165" s="27">
        <v>0.3</v>
      </c>
      <c r="J165" s="45">
        <f t="shared" si="5"/>
        <v>214.28571428571431</v>
      </c>
      <c r="K165" s="18">
        <f t="shared" si="7"/>
        <v>64.285714285714306</v>
      </c>
      <c r="L165" s="1" t="s">
        <v>604</v>
      </c>
    </row>
    <row r="166" spans="1:13" hidden="1" x14ac:dyDescent="0.3">
      <c r="G166" s="1" t="s">
        <v>1163</v>
      </c>
      <c r="H166" s="28">
        <v>290</v>
      </c>
      <c r="I166" s="27">
        <v>0.3</v>
      </c>
      <c r="J166" s="45">
        <f t="shared" si="5"/>
        <v>414.28571428571433</v>
      </c>
      <c r="K166" s="18">
        <f t="shared" si="7"/>
        <v>124.28571428571433</v>
      </c>
      <c r="L166" s="1" t="s">
        <v>604</v>
      </c>
    </row>
    <row r="167" spans="1:13" hidden="1" x14ac:dyDescent="0.3">
      <c r="A167" s="1">
        <v>1</v>
      </c>
      <c r="E167" s="1" t="s">
        <v>1353</v>
      </c>
      <c r="G167" s="1" t="s">
        <v>1174</v>
      </c>
      <c r="I167" s="27">
        <v>0.3</v>
      </c>
      <c r="J167" s="45">
        <f t="shared" si="5"/>
        <v>0</v>
      </c>
      <c r="K167" s="18">
        <f t="shared" si="7"/>
        <v>0</v>
      </c>
      <c r="L167" s="1" t="s">
        <v>604</v>
      </c>
    </row>
    <row r="168" spans="1:13" x14ac:dyDescent="0.3">
      <c r="A168" s="1">
        <v>1</v>
      </c>
      <c r="E168" s="17" t="s">
        <v>1354</v>
      </c>
      <c r="F168" s="1" t="s">
        <v>1563</v>
      </c>
      <c r="G168" s="1" t="s">
        <v>1165</v>
      </c>
      <c r="I168" s="27">
        <v>0.3</v>
      </c>
      <c r="J168" s="45">
        <f t="shared" si="5"/>
        <v>0</v>
      </c>
      <c r="K168" s="18">
        <f t="shared" si="7"/>
        <v>0</v>
      </c>
      <c r="L168" s="1" t="s">
        <v>604</v>
      </c>
    </row>
    <row r="169" spans="1:13" hidden="1" x14ac:dyDescent="0.3">
      <c r="A169" s="1">
        <v>1</v>
      </c>
      <c r="E169" s="1" t="s">
        <v>1200</v>
      </c>
      <c r="G169" s="1" t="s">
        <v>1201</v>
      </c>
      <c r="I169" s="27">
        <v>0.3</v>
      </c>
      <c r="J169" s="45">
        <f t="shared" si="5"/>
        <v>0</v>
      </c>
      <c r="K169" s="18">
        <f t="shared" si="7"/>
        <v>0</v>
      </c>
    </row>
    <row r="170" spans="1:13" hidden="1" x14ac:dyDescent="0.3">
      <c r="A170" s="1">
        <v>1</v>
      </c>
      <c r="G170" s="1" t="s">
        <v>1176</v>
      </c>
      <c r="I170" s="27">
        <v>0.3</v>
      </c>
      <c r="J170" s="45">
        <f t="shared" si="5"/>
        <v>0</v>
      </c>
      <c r="K170" s="18">
        <f t="shared" si="7"/>
        <v>0</v>
      </c>
    </row>
    <row r="171" spans="1:13" hidden="1" x14ac:dyDescent="0.3">
      <c r="A171" s="1">
        <v>1</v>
      </c>
      <c r="B171" s="1" t="s">
        <v>1429</v>
      </c>
      <c r="G171" s="1" t="s">
        <v>1174</v>
      </c>
      <c r="H171" s="28">
        <v>220</v>
      </c>
      <c r="I171" s="27">
        <v>0.3</v>
      </c>
      <c r="J171" s="45">
        <f t="shared" si="5"/>
        <v>314.28571428571428</v>
      </c>
      <c r="K171" s="18">
        <f t="shared" si="7"/>
        <v>94.285714285714278</v>
      </c>
      <c r="M171" s="17">
        <v>365</v>
      </c>
    </row>
    <row r="172" spans="1:13" hidden="1" x14ac:dyDescent="0.3">
      <c r="B172" s="1" t="s">
        <v>1431</v>
      </c>
      <c r="G172" s="1" t="s">
        <v>1165</v>
      </c>
      <c r="H172" s="28">
        <v>175</v>
      </c>
      <c r="I172" s="27">
        <v>0.3</v>
      </c>
      <c r="J172" s="45">
        <f t="shared" si="5"/>
        <v>250.00000000000003</v>
      </c>
      <c r="K172" s="18">
        <f t="shared" si="7"/>
        <v>75.000000000000028</v>
      </c>
    </row>
    <row r="173" spans="1:13" hidden="1" x14ac:dyDescent="0.3">
      <c r="D173" s="1" t="s">
        <v>1445</v>
      </c>
      <c r="E173" s="1" t="s">
        <v>1502</v>
      </c>
      <c r="F173" s="1" t="s">
        <v>1501</v>
      </c>
      <c r="G173" s="1" t="s">
        <v>1165</v>
      </c>
      <c r="H173" s="17">
        <v>190</v>
      </c>
      <c r="I173" s="27">
        <v>0.3</v>
      </c>
      <c r="J173" s="44">
        <f t="shared" si="5"/>
        <v>271.42857142857144</v>
      </c>
      <c r="K173" s="1">
        <f t="shared" si="7"/>
        <v>81.428571428571445</v>
      </c>
    </row>
    <row r="174" spans="1:13" hidden="1" x14ac:dyDescent="0.3">
      <c r="I174" s="27">
        <v>0.3</v>
      </c>
    </row>
  </sheetData>
  <autoFilter ref="A1:N174" xr:uid="{79D8872F-B0EB-46E9-A6F1-124053837160}">
    <filterColumn colId="4">
      <colorFilter dxfId="5"/>
    </filterColumn>
  </autoFilter>
  <sortState xmlns:xlrd2="http://schemas.microsoft.com/office/spreadsheetml/2017/richdata2" ref="A2:M157">
    <sortCondition ref="E2:E157" customList="VT-SG-,VT-SG-,YP-ST-,YP-ST-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23EA-92A0-4E46-9550-91A935055E8A}">
  <sheetPr filterMode="1"/>
  <dimension ref="A1:K100"/>
  <sheetViews>
    <sheetView tabSelected="1" zoomScaleNormal="100" workbookViewId="0">
      <selection activeCell="D24" sqref="D24"/>
    </sheetView>
  </sheetViews>
  <sheetFormatPr baseColWidth="10" defaultRowHeight="16.5" x14ac:dyDescent="0.3"/>
  <cols>
    <col min="1" max="3" width="11" style="1"/>
    <col min="4" max="4" width="63.75" style="1" bestFit="1" customWidth="1"/>
    <col min="5" max="8" width="11" style="1"/>
    <col min="9" max="9" width="16.875" style="1" customWidth="1"/>
    <col min="10" max="16384" width="11" style="1"/>
  </cols>
  <sheetData>
    <row r="1" spans="1:11" x14ac:dyDescent="0.3">
      <c r="A1" s="1" t="s">
        <v>496</v>
      </c>
      <c r="B1" s="1" t="s">
        <v>498</v>
      </c>
      <c r="C1" s="1" t="s">
        <v>499</v>
      </c>
      <c r="D1" s="1" t="s">
        <v>500</v>
      </c>
      <c r="E1" s="1" t="s">
        <v>501</v>
      </c>
      <c r="F1" s="1" t="s">
        <v>639</v>
      </c>
      <c r="G1" s="17" t="s">
        <v>640</v>
      </c>
      <c r="H1" s="1" t="s">
        <v>504</v>
      </c>
      <c r="I1" s="1" t="s">
        <v>505</v>
      </c>
      <c r="J1" s="17" t="s">
        <v>506</v>
      </c>
    </row>
    <row r="2" spans="1:11" x14ac:dyDescent="0.3">
      <c r="A2" s="52">
        <v>1</v>
      </c>
      <c r="C2" s="17" t="s">
        <v>733</v>
      </c>
      <c r="D2" s="1" t="s">
        <v>1580</v>
      </c>
      <c r="E2" s="20">
        <v>343</v>
      </c>
      <c r="F2" s="27">
        <v>0.3</v>
      </c>
      <c r="G2" s="20">
        <f>E2/(1-F2)</f>
        <v>490.00000000000006</v>
      </c>
      <c r="H2" s="18">
        <f>G2-E2</f>
        <v>147.00000000000006</v>
      </c>
      <c r="I2" s="1" t="s">
        <v>683</v>
      </c>
      <c r="J2" s="20">
        <v>450</v>
      </c>
    </row>
    <row r="3" spans="1:11" x14ac:dyDescent="0.3">
      <c r="A3" s="1" t="s">
        <v>1423</v>
      </c>
      <c r="C3" s="17" t="s">
        <v>700</v>
      </c>
      <c r="D3" s="1" t="s">
        <v>701</v>
      </c>
      <c r="E3" s="20">
        <v>183.6</v>
      </c>
      <c r="F3" s="27">
        <v>0.3</v>
      </c>
      <c r="G3" s="20">
        <f>E3/(1-F3)</f>
        <v>262.28571428571428</v>
      </c>
      <c r="H3" s="18">
        <f>G3-E3</f>
        <v>78.685714285714283</v>
      </c>
      <c r="I3" s="1" t="s">
        <v>683</v>
      </c>
      <c r="J3" s="20"/>
    </row>
    <row r="4" spans="1:11" x14ac:dyDescent="0.3">
      <c r="A4" s="44">
        <v>2</v>
      </c>
      <c r="C4" s="17" t="s">
        <v>684</v>
      </c>
      <c r="D4" s="1" t="s">
        <v>685</v>
      </c>
      <c r="E4" s="20">
        <v>232.56</v>
      </c>
      <c r="F4" s="27">
        <v>0.3</v>
      </c>
      <c r="G4" s="20">
        <f>E4/(1-F4)</f>
        <v>332.22857142857146</v>
      </c>
      <c r="H4" s="18">
        <f>G4-E4</f>
        <v>99.668571428571454</v>
      </c>
      <c r="I4" s="1" t="s">
        <v>683</v>
      </c>
      <c r="J4" s="20"/>
    </row>
    <row r="5" spans="1:11" x14ac:dyDescent="0.3">
      <c r="A5" s="1">
        <v>1</v>
      </c>
      <c r="C5" s="17" t="s">
        <v>1247</v>
      </c>
      <c r="D5" s="1" t="s">
        <v>1248</v>
      </c>
      <c r="E5" s="20">
        <v>352.8</v>
      </c>
      <c r="F5" s="27">
        <v>0.3</v>
      </c>
      <c r="G5" s="20">
        <f>E5/(1-F5)</f>
        <v>504.00000000000006</v>
      </c>
      <c r="H5" s="18">
        <f>G5-E5</f>
        <v>151.20000000000005</v>
      </c>
    </row>
    <row r="6" spans="1:11" x14ac:dyDescent="0.3">
      <c r="A6" s="1">
        <v>1</v>
      </c>
      <c r="C6" s="17" t="s">
        <v>1207</v>
      </c>
      <c r="D6" s="1" t="s">
        <v>1208</v>
      </c>
      <c r="E6" s="20">
        <v>174.96</v>
      </c>
      <c r="F6" s="27">
        <v>0.3</v>
      </c>
      <c r="G6" s="20">
        <f>E6/(1-F6)</f>
        <v>249.94285714285718</v>
      </c>
      <c r="H6" s="18">
        <f>G6-E6</f>
        <v>74.982857142857171</v>
      </c>
      <c r="I6" s="1" t="s">
        <v>683</v>
      </c>
      <c r="J6" s="20"/>
    </row>
    <row r="7" spans="1:11" hidden="1" x14ac:dyDescent="0.3">
      <c r="A7" s="52" t="s">
        <v>1019</v>
      </c>
      <c r="C7" s="1" t="s">
        <v>682</v>
      </c>
      <c r="D7" s="1" t="s">
        <v>917</v>
      </c>
      <c r="E7" s="18">
        <v>413.1</v>
      </c>
      <c r="F7" s="27">
        <v>0.3</v>
      </c>
      <c r="G7" s="20">
        <f>E7/(1-F7)</f>
        <v>590.14285714285722</v>
      </c>
      <c r="H7" s="18">
        <f>G7-E7</f>
        <v>177.0428571428572</v>
      </c>
      <c r="I7" s="1" t="s">
        <v>683</v>
      </c>
      <c r="J7" s="20">
        <v>550</v>
      </c>
    </row>
    <row r="8" spans="1:11" hidden="1" x14ac:dyDescent="0.3">
      <c r="C8" s="1" t="s">
        <v>1415</v>
      </c>
      <c r="D8" s="1" t="s">
        <v>692</v>
      </c>
      <c r="E8" s="18">
        <v>280.35000000000002</v>
      </c>
      <c r="F8" s="27">
        <v>0.3</v>
      </c>
      <c r="G8" s="20">
        <f>E8/(1-F8)</f>
        <v>400.50000000000006</v>
      </c>
      <c r="H8" s="18">
        <f>G8-E8</f>
        <v>120.15000000000003</v>
      </c>
      <c r="I8" s="1" t="s">
        <v>683</v>
      </c>
      <c r="J8" s="20">
        <v>550</v>
      </c>
    </row>
    <row r="9" spans="1:11" hidden="1" x14ac:dyDescent="0.3">
      <c r="C9" s="1" t="s">
        <v>688</v>
      </c>
      <c r="D9" s="1" t="s">
        <v>689</v>
      </c>
      <c r="E9" s="18">
        <v>177</v>
      </c>
      <c r="F9" s="27">
        <v>0.3</v>
      </c>
      <c r="G9" s="20">
        <f>E9/(1-F9)</f>
        <v>252.85714285714286</v>
      </c>
      <c r="H9" s="18">
        <f>G9-E9</f>
        <v>75.857142857142861</v>
      </c>
      <c r="I9" s="1" t="s">
        <v>683</v>
      </c>
      <c r="J9" s="20"/>
    </row>
    <row r="10" spans="1:11" x14ac:dyDescent="0.3">
      <c r="C10" s="17"/>
      <c r="E10" s="18"/>
      <c r="F10" s="27"/>
      <c r="G10" s="20"/>
      <c r="H10" s="18"/>
      <c r="J10" s="20"/>
    </row>
    <row r="11" spans="1:11" x14ac:dyDescent="0.3">
      <c r="A11" s="1">
        <v>1</v>
      </c>
      <c r="C11" s="17" t="s">
        <v>698</v>
      </c>
      <c r="D11" s="1" t="s">
        <v>699</v>
      </c>
      <c r="E11" s="20">
        <v>211</v>
      </c>
      <c r="F11" s="27">
        <v>0.3</v>
      </c>
      <c r="G11" s="20">
        <f t="shared" ref="G2:G19" si="0">E11/(1-F11)</f>
        <v>301.42857142857144</v>
      </c>
      <c r="H11" s="18">
        <f t="shared" ref="H3:H76" si="1">G11-E11</f>
        <v>90.428571428571445</v>
      </c>
      <c r="I11" s="1" t="s">
        <v>683</v>
      </c>
      <c r="J11" s="20"/>
      <c r="K11" s="1">
        <v>320</v>
      </c>
    </row>
    <row r="12" spans="1:11" x14ac:dyDescent="0.3">
      <c r="A12" s="1">
        <v>1</v>
      </c>
      <c r="C12" s="1" t="s">
        <v>690</v>
      </c>
      <c r="D12" s="1" t="s">
        <v>691</v>
      </c>
      <c r="E12" s="18">
        <v>180</v>
      </c>
      <c r="F12" s="27">
        <v>0.3</v>
      </c>
      <c r="G12" s="20">
        <f t="shared" si="0"/>
        <v>257.14285714285717</v>
      </c>
      <c r="H12" s="18">
        <f t="shared" si="1"/>
        <v>77.142857142857167</v>
      </c>
      <c r="I12" s="1" t="s">
        <v>683</v>
      </c>
      <c r="J12" s="20"/>
    </row>
    <row r="13" spans="1:11" x14ac:dyDescent="0.3">
      <c r="C13" s="1" t="s">
        <v>1249</v>
      </c>
      <c r="D13" s="1" t="s">
        <v>1250</v>
      </c>
      <c r="E13" s="18">
        <v>346.5</v>
      </c>
      <c r="F13" s="27">
        <v>0.3</v>
      </c>
      <c r="G13" s="20">
        <f t="shared" si="0"/>
        <v>495.00000000000006</v>
      </c>
      <c r="H13" s="18">
        <f t="shared" si="1"/>
        <v>148.50000000000006</v>
      </c>
    </row>
    <row r="14" spans="1:11" x14ac:dyDescent="0.3">
      <c r="A14" s="1">
        <v>1</v>
      </c>
      <c r="C14" s="1" t="s">
        <v>748</v>
      </c>
      <c r="D14" s="1" t="s">
        <v>1251</v>
      </c>
      <c r="E14" s="18">
        <v>246</v>
      </c>
      <c r="F14" s="27">
        <v>0.3</v>
      </c>
      <c r="G14" s="20">
        <f t="shared" si="0"/>
        <v>351.42857142857144</v>
      </c>
      <c r="H14" s="18">
        <f t="shared" si="1"/>
        <v>105.42857142857144</v>
      </c>
      <c r="I14" s="1" t="s">
        <v>683</v>
      </c>
      <c r="J14" s="20"/>
    </row>
    <row r="15" spans="1:11" x14ac:dyDescent="0.3">
      <c r="C15" s="1" t="s">
        <v>695</v>
      </c>
      <c r="D15" s="1" t="s">
        <v>696</v>
      </c>
      <c r="E15" s="18">
        <v>227</v>
      </c>
      <c r="F15" s="27">
        <v>0.3</v>
      </c>
      <c r="G15" s="20">
        <f t="shared" si="0"/>
        <v>324.28571428571433</v>
      </c>
      <c r="H15" s="18">
        <f t="shared" si="1"/>
        <v>97.285714285714334</v>
      </c>
      <c r="I15" s="1" t="s">
        <v>683</v>
      </c>
      <c r="J15" s="20"/>
    </row>
    <row r="16" spans="1:11" x14ac:dyDescent="0.3">
      <c r="C16" s="1" t="s">
        <v>686</v>
      </c>
      <c r="D16" s="1" t="s">
        <v>687</v>
      </c>
      <c r="E16" s="18">
        <v>278</v>
      </c>
      <c r="F16" s="27">
        <v>0.3</v>
      </c>
      <c r="G16" s="20">
        <f t="shared" si="0"/>
        <v>397.14285714285717</v>
      </c>
      <c r="H16" s="18">
        <f t="shared" si="1"/>
        <v>119.14285714285717</v>
      </c>
      <c r="I16" s="1" t="s">
        <v>683</v>
      </c>
      <c r="J16" s="20"/>
    </row>
    <row r="17" spans="1:11" x14ac:dyDescent="0.3">
      <c r="C17" s="17" t="s">
        <v>697</v>
      </c>
      <c r="D17" s="1" t="s">
        <v>919</v>
      </c>
      <c r="E17" s="20">
        <v>224</v>
      </c>
      <c r="F17" s="27">
        <v>0.3</v>
      </c>
      <c r="G17" s="20">
        <f t="shared" si="0"/>
        <v>320</v>
      </c>
      <c r="H17" s="18">
        <f t="shared" si="1"/>
        <v>96</v>
      </c>
      <c r="I17" s="1" t="s">
        <v>683</v>
      </c>
      <c r="J17" s="20"/>
      <c r="K17" s="1">
        <v>330</v>
      </c>
    </row>
    <row r="18" spans="1:11" x14ac:dyDescent="0.3">
      <c r="A18" s="1" t="s">
        <v>1424</v>
      </c>
      <c r="C18" s="1" t="s">
        <v>647</v>
      </c>
      <c r="D18" s="1" t="s">
        <v>918</v>
      </c>
      <c r="E18" s="18">
        <v>227.52</v>
      </c>
      <c r="F18" s="27">
        <v>0.3</v>
      </c>
      <c r="G18" s="20">
        <f t="shared" si="0"/>
        <v>325.02857142857147</v>
      </c>
      <c r="H18" s="18">
        <f t="shared" si="1"/>
        <v>97.508571428571457</v>
      </c>
      <c r="I18" s="1" t="s">
        <v>683</v>
      </c>
      <c r="J18" s="20"/>
    </row>
    <row r="19" spans="1:11" x14ac:dyDescent="0.3">
      <c r="A19" s="1">
        <v>1</v>
      </c>
      <c r="C19" s="17" t="s">
        <v>693</v>
      </c>
      <c r="D19" s="1" t="s">
        <v>694</v>
      </c>
      <c r="E19" s="18">
        <v>351.9</v>
      </c>
      <c r="F19" s="27">
        <v>0.3</v>
      </c>
      <c r="G19" s="20">
        <f t="shared" si="0"/>
        <v>502.71428571428572</v>
      </c>
      <c r="H19" s="18">
        <f t="shared" si="1"/>
        <v>150.81428571428575</v>
      </c>
      <c r="I19" s="1" t="s">
        <v>683</v>
      </c>
      <c r="J19" s="20"/>
    </row>
    <row r="20" spans="1:11" x14ac:dyDescent="0.3">
      <c r="A20" s="53">
        <v>1</v>
      </c>
      <c r="C20" s="1" t="s">
        <v>651</v>
      </c>
      <c r="D20" s="1" t="s">
        <v>920</v>
      </c>
      <c r="E20" s="18">
        <v>227.52</v>
      </c>
      <c r="F20" s="27">
        <v>0.3</v>
      </c>
      <c r="G20" s="20">
        <f t="shared" ref="G20:G41" si="2">E20/(1-F20)</f>
        <v>325.02857142857147</v>
      </c>
      <c r="H20" s="18">
        <f t="shared" si="1"/>
        <v>97.508571428571457</v>
      </c>
      <c r="I20" s="1" t="s">
        <v>683</v>
      </c>
      <c r="J20" s="20"/>
    </row>
    <row r="21" spans="1:11" x14ac:dyDescent="0.3">
      <c r="A21" s="44"/>
      <c r="C21" s="17" t="s">
        <v>1480</v>
      </c>
      <c r="D21" s="1" t="s">
        <v>1481</v>
      </c>
      <c r="E21" s="20">
        <v>246</v>
      </c>
      <c r="F21" s="27">
        <v>0.3</v>
      </c>
      <c r="G21" s="20">
        <f t="shared" si="2"/>
        <v>351.42857142857144</v>
      </c>
      <c r="H21" s="18">
        <f t="shared" si="1"/>
        <v>105.42857142857144</v>
      </c>
      <c r="I21" s="1" t="s">
        <v>683</v>
      </c>
      <c r="J21" s="20"/>
    </row>
    <row r="22" spans="1:11" x14ac:dyDescent="0.3">
      <c r="A22" s="1">
        <v>1</v>
      </c>
      <c r="C22" s="1" t="s">
        <v>1243</v>
      </c>
      <c r="D22" s="1" t="s">
        <v>1244</v>
      </c>
      <c r="E22" s="18">
        <v>175</v>
      </c>
      <c r="F22" s="27">
        <v>0.3</v>
      </c>
      <c r="G22" s="20">
        <f t="shared" si="2"/>
        <v>250.00000000000003</v>
      </c>
      <c r="H22" s="18">
        <f t="shared" si="1"/>
        <v>75.000000000000028</v>
      </c>
    </row>
    <row r="23" spans="1:11" s="56" customFormat="1" x14ac:dyDescent="0.3">
      <c r="C23" s="56" t="s">
        <v>1478</v>
      </c>
      <c r="D23" s="56" t="s">
        <v>1479</v>
      </c>
      <c r="E23" s="57">
        <v>280.26</v>
      </c>
      <c r="F23" s="58">
        <v>0.3</v>
      </c>
      <c r="G23" s="57">
        <f t="shared" si="2"/>
        <v>400.37142857142857</v>
      </c>
      <c r="H23" s="57">
        <f t="shared" si="1"/>
        <v>120.11142857142858</v>
      </c>
    </row>
    <row r="24" spans="1:11" x14ac:dyDescent="0.3">
      <c r="A24" s="1">
        <v>1</v>
      </c>
      <c r="C24" s="1" t="s">
        <v>1245</v>
      </c>
      <c r="D24" s="1" t="s">
        <v>1246</v>
      </c>
      <c r="E24" s="18">
        <v>236.25</v>
      </c>
      <c r="F24" s="27">
        <v>0.3</v>
      </c>
      <c r="G24" s="20">
        <f t="shared" si="2"/>
        <v>337.5</v>
      </c>
      <c r="H24" s="18">
        <f t="shared" si="1"/>
        <v>101.25</v>
      </c>
    </row>
    <row r="25" spans="1:11" x14ac:dyDescent="0.3">
      <c r="C25" s="17" t="s">
        <v>1482</v>
      </c>
      <c r="D25" s="1" t="s">
        <v>1483</v>
      </c>
      <c r="E25" s="18">
        <v>340</v>
      </c>
      <c r="F25" s="27">
        <v>0.3</v>
      </c>
      <c r="G25" s="20">
        <f t="shared" si="2"/>
        <v>485.71428571428572</v>
      </c>
      <c r="H25" s="18">
        <f t="shared" si="1"/>
        <v>145.71428571428572</v>
      </c>
      <c r="K25" s="1">
        <v>480</v>
      </c>
    </row>
    <row r="26" spans="1:11" x14ac:dyDescent="0.3">
      <c r="C26" s="1" t="s">
        <v>650</v>
      </c>
      <c r="D26" s="1" t="s">
        <v>643</v>
      </c>
      <c r="E26" s="18">
        <v>197.18700000000001</v>
      </c>
      <c r="F26" s="27">
        <v>0.3</v>
      </c>
      <c r="G26" s="20">
        <f t="shared" si="2"/>
        <v>281.6957142857143</v>
      </c>
      <c r="H26" s="18">
        <f t="shared" si="1"/>
        <v>84.508714285714291</v>
      </c>
      <c r="I26" s="1" t="s">
        <v>683</v>
      </c>
      <c r="J26" s="20"/>
    </row>
    <row r="27" spans="1:11" x14ac:dyDescent="0.3">
      <c r="A27" s="1">
        <v>2</v>
      </c>
      <c r="C27" s="17" t="s">
        <v>645</v>
      </c>
      <c r="D27" s="1" t="s">
        <v>646</v>
      </c>
      <c r="E27" s="20">
        <v>227.32</v>
      </c>
      <c r="F27" s="27">
        <v>0.3</v>
      </c>
      <c r="G27" s="20">
        <f t="shared" si="2"/>
        <v>324.74285714285713</v>
      </c>
      <c r="H27" s="18">
        <f t="shared" si="1"/>
        <v>97.42285714285714</v>
      </c>
      <c r="I27" s="1" t="s">
        <v>683</v>
      </c>
      <c r="J27" s="20"/>
    </row>
    <row r="28" spans="1:11" x14ac:dyDescent="0.3">
      <c r="C28" s="1" t="s">
        <v>648</v>
      </c>
      <c r="D28" s="1" t="s">
        <v>649</v>
      </c>
      <c r="E28" s="18">
        <v>236.62</v>
      </c>
      <c r="F28" s="27">
        <v>0.3</v>
      </c>
      <c r="G28" s="20">
        <f t="shared" ref="G28" si="3">E28/(1-F28)</f>
        <v>338.02857142857147</v>
      </c>
      <c r="H28" s="18">
        <f t="shared" si="1"/>
        <v>101.40857142857146</v>
      </c>
      <c r="I28" s="1" t="s">
        <v>641</v>
      </c>
      <c r="J28" s="20"/>
    </row>
    <row r="29" spans="1:11" x14ac:dyDescent="0.3">
      <c r="A29" s="1">
        <v>1</v>
      </c>
      <c r="B29" s="1" t="s">
        <v>1579</v>
      </c>
      <c r="C29" s="1" t="s">
        <v>736</v>
      </c>
      <c r="D29" s="1" t="s">
        <v>1018</v>
      </c>
      <c r="E29" s="54">
        <v>398</v>
      </c>
      <c r="F29" s="27">
        <v>0.2</v>
      </c>
      <c r="G29" s="20">
        <f t="shared" si="2"/>
        <v>497.5</v>
      </c>
      <c r="H29" s="18">
        <f t="shared" si="1"/>
        <v>99.5</v>
      </c>
      <c r="I29" s="1" t="s">
        <v>641</v>
      </c>
      <c r="J29" s="20"/>
    </row>
    <row r="30" spans="1:11" x14ac:dyDescent="0.3">
      <c r="A30" s="1">
        <v>1</v>
      </c>
      <c r="C30" s="17" t="s">
        <v>1324</v>
      </c>
      <c r="D30" s="1" t="s">
        <v>1325</v>
      </c>
      <c r="E30" s="54">
        <v>350</v>
      </c>
      <c r="F30" s="27">
        <v>0.3</v>
      </c>
      <c r="G30" s="20">
        <f t="shared" si="2"/>
        <v>500.00000000000006</v>
      </c>
      <c r="H30" s="18">
        <f t="shared" si="1"/>
        <v>150.00000000000006</v>
      </c>
      <c r="J30" s="20"/>
    </row>
    <row r="31" spans="1:11" x14ac:dyDescent="0.3">
      <c r="A31" s="1">
        <v>1</v>
      </c>
      <c r="C31" s="17" t="s">
        <v>655</v>
      </c>
      <c r="D31" s="1" t="s">
        <v>656</v>
      </c>
      <c r="E31" s="20">
        <v>180</v>
      </c>
      <c r="F31" s="27">
        <v>0.3</v>
      </c>
      <c r="G31" s="20">
        <f t="shared" si="2"/>
        <v>257.14285714285717</v>
      </c>
      <c r="H31" s="18">
        <f t="shared" si="1"/>
        <v>77.142857142857167</v>
      </c>
      <c r="I31" s="1" t="s">
        <v>641</v>
      </c>
      <c r="J31" s="20"/>
    </row>
    <row r="32" spans="1:11" x14ac:dyDescent="0.3">
      <c r="C32" s="1" t="s">
        <v>1171</v>
      </c>
      <c r="D32" s="1" t="s">
        <v>1329</v>
      </c>
      <c r="E32" s="18">
        <v>315</v>
      </c>
      <c r="F32" s="27">
        <v>0.3</v>
      </c>
      <c r="G32" s="20">
        <f t="shared" si="2"/>
        <v>450.00000000000006</v>
      </c>
      <c r="H32" s="18">
        <f t="shared" si="1"/>
        <v>135.00000000000006</v>
      </c>
      <c r="I32" s="1" t="s">
        <v>641</v>
      </c>
      <c r="J32" s="20"/>
    </row>
    <row r="33" spans="1:10" x14ac:dyDescent="0.3">
      <c r="A33" s="1">
        <v>1</v>
      </c>
      <c r="C33" s="1" t="s">
        <v>657</v>
      </c>
      <c r="D33" s="1" t="s">
        <v>658</v>
      </c>
      <c r="E33" s="18">
        <v>235</v>
      </c>
      <c r="F33" s="27">
        <v>0.3</v>
      </c>
      <c r="G33" s="20">
        <f t="shared" si="2"/>
        <v>335.71428571428572</v>
      </c>
      <c r="H33" s="18">
        <f t="shared" si="1"/>
        <v>100.71428571428572</v>
      </c>
      <c r="I33" s="1" t="s">
        <v>641</v>
      </c>
      <c r="J33" s="20"/>
    </row>
    <row r="34" spans="1:10" x14ac:dyDescent="0.3">
      <c r="A34" s="1">
        <v>1</v>
      </c>
      <c r="C34" s="1" t="s">
        <v>678</v>
      </c>
      <c r="D34" s="1" t="s">
        <v>679</v>
      </c>
      <c r="E34" s="18">
        <v>175</v>
      </c>
      <c r="F34" s="27">
        <v>0.3</v>
      </c>
      <c r="G34" s="20">
        <f t="shared" si="2"/>
        <v>250.00000000000003</v>
      </c>
      <c r="H34" s="18">
        <f t="shared" si="1"/>
        <v>75.000000000000028</v>
      </c>
      <c r="I34" s="1" t="s">
        <v>641</v>
      </c>
      <c r="J34" s="20"/>
    </row>
    <row r="35" spans="1:10" x14ac:dyDescent="0.3">
      <c r="A35" s="1">
        <v>2</v>
      </c>
      <c r="C35" s="1" t="s">
        <v>659</v>
      </c>
      <c r="D35" s="1" t="s">
        <v>660</v>
      </c>
      <c r="E35" s="18">
        <v>167.8</v>
      </c>
      <c r="F35" s="27">
        <v>0.3</v>
      </c>
      <c r="G35" s="20">
        <f t="shared" si="2"/>
        <v>239.71428571428575</v>
      </c>
      <c r="H35" s="18">
        <f t="shared" si="1"/>
        <v>71.914285714285739</v>
      </c>
      <c r="I35" s="1" t="s">
        <v>641</v>
      </c>
      <c r="J35" s="20"/>
    </row>
    <row r="36" spans="1:10" x14ac:dyDescent="0.3">
      <c r="C36" s="1" t="s">
        <v>661</v>
      </c>
      <c r="D36" s="1" t="s">
        <v>662</v>
      </c>
      <c r="E36" s="18">
        <v>190.68</v>
      </c>
      <c r="F36" s="27">
        <v>0.3</v>
      </c>
      <c r="G36" s="20">
        <f t="shared" si="2"/>
        <v>272.40000000000003</v>
      </c>
      <c r="H36" s="18">
        <f t="shared" si="1"/>
        <v>81.720000000000027</v>
      </c>
      <c r="I36" s="1" t="s">
        <v>641</v>
      </c>
      <c r="J36" s="20"/>
    </row>
    <row r="37" spans="1:10" ht="13.5" customHeight="1" x14ac:dyDescent="0.3">
      <c r="A37" s="1">
        <v>2</v>
      </c>
      <c r="C37" s="17" t="s">
        <v>663</v>
      </c>
      <c r="D37" s="1" t="s">
        <v>664</v>
      </c>
      <c r="E37" s="20">
        <v>195</v>
      </c>
      <c r="F37" s="27">
        <v>0.3</v>
      </c>
      <c r="G37" s="20">
        <f t="shared" si="2"/>
        <v>278.57142857142861</v>
      </c>
      <c r="H37" s="18">
        <f t="shared" si="1"/>
        <v>83.571428571428612</v>
      </c>
      <c r="I37" s="1" t="s">
        <v>641</v>
      </c>
      <c r="J37" s="20"/>
    </row>
    <row r="38" spans="1:10" ht="12.75" customHeight="1" x14ac:dyDescent="0.3">
      <c r="A38" s="1">
        <v>7</v>
      </c>
      <c r="C38" s="17" t="s">
        <v>642</v>
      </c>
      <c r="D38" s="1" t="s">
        <v>1192</v>
      </c>
      <c r="E38" s="20">
        <v>215</v>
      </c>
      <c r="F38" s="27">
        <v>0.3</v>
      </c>
      <c r="G38" s="20">
        <f t="shared" si="2"/>
        <v>307.14285714285717</v>
      </c>
      <c r="H38" s="18">
        <f t="shared" si="1"/>
        <v>92.142857142857167</v>
      </c>
      <c r="I38" s="1" t="s">
        <v>641</v>
      </c>
      <c r="J38" s="20"/>
    </row>
    <row r="39" spans="1:10" x14ac:dyDescent="0.3">
      <c r="A39" s="1">
        <v>4</v>
      </c>
      <c r="C39" s="17" t="s">
        <v>913</v>
      </c>
      <c r="D39" s="1" t="s">
        <v>644</v>
      </c>
      <c r="E39" s="20">
        <v>235</v>
      </c>
      <c r="F39" s="27">
        <v>0.3</v>
      </c>
      <c r="G39" s="20">
        <f t="shared" si="2"/>
        <v>335.71428571428572</v>
      </c>
      <c r="H39" s="18">
        <f t="shared" si="1"/>
        <v>100.71428571428572</v>
      </c>
      <c r="I39" s="1" t="s">
        <v>641</v>
      </c>
      <c r="J39" s="20"/>
    </row>
    <row r="40" spans="1:10" x14ac:dyDescent="0.3">
      <c r="A40" s="1">
        <v>3</v>
      </c>
      <c r="C40" s="1" t="s">
        <v>665</v>
      </c>
      <c r="D40" s="1" t="s">
        <v>666</v>
      </c>
      <c r="E40" s="18">
        <v>182.2</v>
      </c>
      <c r="F40" s="27">
        <v>0.3</v>
      </c>
      <c r="G40" s="20">
        <f t="shared" si="2"/>
        <v>260.28571428571428</v>
      </c>
      <c r="H40" s="18">
        <f t="shared" si="1"/>
        <v>78.085714285714289</v>
      </c>
      <c r="I40" s="1" t="s">
        <v>641</v>
      </c>
      <c r="J40" s="20"/>
    </row>
    <row r="41" spans="1:10" x14ac:dyDescent="0.3">
      <c r="C41" s="1" t="s">
        <v>667</v>
      </c>
      <c r="D41" s="1" t="s">
        <v>668</v>
      </c>
      <c r="E41" s="18">
        <v>182.2</v>
      </c>
      <c r="F41" s="27">
        <v>0.3</v>
      </c>
      <c r="G41" s="20">
        <f t="shared" si="2"/>
        <v>260.28571428571428</v>
      </c>
      <c r="H41" s="18">
        <f t="shared" si="1"/>
        <v>78.085714285714289</v>
      </c>
      <c r="I41" s="1" t="s">
        <v>641</v>
      </c>
      <c r="J41" s="20"/>
    </row>
    <row r="42" spans="1:10" x14ac:dyDescent="0.3">
      <c r="A42" s="1">
        <v>1</v>
      </c>
      <c r="C42" s="1" t="s">
        <v>744</v>
      </c>
      <c r="D42" s="1" t="s">
        <v>745</v>
      </c>
      <c r="E42" s="54">
        <v>285</v>
      </c>
      <c r="F42" s="27">
        <v>0.3</v>
      </c>
      <c r="G42" s="20">
        <f t="shared" ref="G42:G78" si="4">E42/(1-F42)</f>
        <v>407.14285714285717</v>
      </c>
      <c r="H42" s="18">
        <f t="shared" si="1"/>
        <v>122.14285714285717</v>
      </c>
      <c r="I42" s="1" t="s">
        <v>641</v>
      </c>
      <c r="J42" s="20"/>
    </row>
    <row r="43" spans="1:10" x14ac:dyDescent="0.3">
      <c r="A43" s="1">
        <v>1</v>
      </c>
      <c r="C43" s="1" t="s">
        <v>669</v>
      </c>
      <c r="D43" s="1" t="s">
        <v>670</v>
      </c>
      <c r="E43" s="18">
        <v>165.25</v>
      </c>
      <c r="F43" s="27">
        <v>0.3</v>
      </c>
      <c r="G43" s="20">
        <f t="shared" si="4"/>
        <v>236.07142857142858</v>
      </c>
      <c r="H43" s="18">
        <f t="shared" si="1"/>
        <v>70.821428571428584</v>
      </c>
      <c r="I43" s="1" t="s">
        <v>641</v>
      </c>
      <c r="J43" s="20"/>
    </row>
    <row r="44" spans="1:10" x14ac:dyDescent="0.3">
      <c r="A44" s="1">
        <v>2</v>
      </c>
      <c r="C44" s="1" t="s">
        <v>671</v>
      </c>
      <c r="D44" s="1" t="s">
        <v>672</v>
      </c>
      <c r="E44" s="18">
        <v>173.73</v>
      </c>
      <c r="F44" s="27">
        <v>0.3</v>
      </c>
      <c r="G44" s="20">
        <f t="shared" si="4"/>
        <v>248.18571428571428</v>
      </c>
      <c r="H44" s="18">
        <f t="shared" si="1"/>
        <v>74.455714285714294</v>
      </c>
      <c r="I44" s="1" t="s">
        <v>641</v>
      </c>
      <c r="J44" s="20"/>
    </row>
    <row r="45" spans="1:10" x14ac:dyDescent="0.3">
      <c r="A45" s="1">
        <v>1</v>
      </c>
      <c r="C45" s="17" t="s">
        <v>1171</v>
      </c>
      <c r="D45" s="1" t="s">
        <v>706</v>
      </c>
      <c r="E45" s="20">
        <v>315</v>
      </c>
      <c r="F45" s="27">
        <v>0.3</v>
      </c>
      <c r="G45" s="20">
        <f t="shared" si="4"/>
        <v>450.00000000000006</v>
      </c>
      <c r="H45" s="18">
        <f t="shared" si="1"/>
        <v>135.00000000000006</v>
      </c>
      <c r="I45" s="1" t="s">
        <v>641</v>
      </c>
      <c r="J45" s="20"/>
    </row>
    <row r="46" spans="1:10" x14ac:dyDescent="0.3">
      <c r="C46" s="17" t="s">
        <v>738</v>
      </c>
      <c r="D46" s="1" t="s">
        <v>627</v>
      </c>
      <c r="E46" s="55">
        <v>415</v>
      </c>
      <c r="F46" s="27">
        <v>0.3</v>
      </c>
      <c r="G46" s="20">
        <f t="shared" si="4"/>
        <v>592.85714285714289</v>
      </c>
      <c r="H46" s="18">
        <f t="shared" si="1"/>
        <v>177.85714285714289</v>
      </c>
      <c r="I46" s="1" t="s">
        <v>641</v>
      </c>
      <c r="J46" s="20"/>
    </row>
    <row r="47" spans="1:10" x14ac:dyDescent="0.3">
      <c r="A47" s="1">
        <v>1</v>
      </c>
      <c r="C47" s="1" t="s">
        <v>1330</v>
      </c>
      <c r="D47" s="1" t="s">
        <v>1331</v>
      </c>
      <c r="E47" s="54">
        <v>225</v>
      </c>
      <c r="F47" s="27">
        <v>0.3</v>
      </c>
      <c r="G47" s="20">
        <f t="shared" si="4"/>
        <v>321.42857142857144</v>
      </c>
      <c r="H47" s="18">
        <f t="shared" si="1"/>
        <v>96.428571428571445</v>
      </c>
      <c r="I47" s="1" t="s">
        <v>641</v>
      </c>
      <c r="J47" s="20"/>
    </row>
    <row r="48" spans="1:10" x14ac:dyDescent="0.3">
      <c r="A48" s="1">
        <v>1</v>
      </c>
      <c r="C48" s="1" t="s">
        <v>676</v>
      </c>
      <c r="D48" s="1" t="s">
        <v>677</v>
      </c>
      <c r="E48" s="18">
        <v>203.39</v>
      </c>
      <c r="F48" s="27">
        <v>0.3</v>
      </c>
      <c r="G48" s="20">
        <f t="shared" si="4"/>
        <v>290.55714285714288</v>
      </c>
      <c r="H48" s="18">
        <f t="shared" si="1"/>
        <v>87.167142857142892</v>
      </c>
      <c r="I48" s="1" t="s">
        <v>641</v>
      </c>
      <c r="J48" s="20"/>
    </row>
    <row r="49" spans="1:10" x14ac:dyDescent="0.3">
      <c r="C49" s="1" t="s">
        <v>674</v>
      </c>
      <c r="D49" s="1" t="s">
        <v>675</v>
      </c>
      <c r="E49" s="18">
        <v>203.39</v>
      </c>
      <c r="F49" s="27">
        <v>0.3</v>
      </c>
      <c r="G49" s="20">
        <f t="shared" si="4"/>
        <v>290.55714285714288</v>
      </c>
      <c r="H49" s="18">
        <f t="shared" si="1"/>
        <v>87.167142857142892</v>
      </c>
      <c r="I49" s="1" t="s">
        <v>641</v>
      </c>
      <c r="J49" s="20"/>
    </row>
    <row r="50" spans="1:10" x14ac:dyDescent="0.3">
      <c r="A50" s="1">
        <v>1</v>
      </c>
      <c r="C50" s="1" t="s">
        <v>746</v>
      </c>
      <c r="D50" s="1" t="s">
        <v>747</v>
      </c>
      <c r="E50" s="54">
        <v>265</v>
      </c>
      <c r="F50" s="27">
        <v>0.3</v>
      </c>
      <c r="G50" s="20">
        <f t="shared" si="4"/>
        <v>378.57142857142861</v>
      </c>
      <c r="H50" s="18">
        <f t="shared" si="1"/>
        <v>113.57142857142861</v>
      </c>
      <c r="I50" s="1" t="s">
        <v>641</v>
      </c>
      <c r="J50" s="20"/>
    </row>
    <row r="51" spans="1:10" x14ac:dyDescent="0.3">
      <c r="C51" s="1" t="s">
        <v>673</v>
      </c>
      <c r="D51" s="1" t="s">
        <v>1364</v>
      </c>
      <c r="E51" s="18">
        <v>199.15</v>
      </c>
      <c r="F51" s="27">
        <v>0.3</v>
      </c>
      <c r="G51" s="20">
        <f t="shared" si="4"/>
        <v>284.5</v>
      </c>
      <c r="H51" s="18">
        <f t="shared" si="1"/>
        <v>85.35</v>
      </c>
      <c r="I51" s="1" t="s">
        <v>641</v>
      </c>
      <c r="J51" s="20"/>
    </row>
    <row r="52" spans="1:10" x14ac:dyDescent="0.3">
      <c r="A52" s="1">
        <v>2</v>
      </c>
      <c r="C52" s="17" t="s">
        <v>739</v>
      </c>
      <c r="D52" s="1" t="s">
        <v>740</v>
      </c>
      <c r="E52" s="55">
        <v>385</v>
      </c>
      <c r="F52" s="27">
        <v>0.3</v>
      </c>
      <c r="G52" s="20">
        <f t="shared" si="4"/>
        <v>550</v>
      </c>
      <c r="H52" s="18">
        <f t="shared" si="1"/>
        <v>165</v>
      </c>
      <c r="I52" s="1" t="s">
        <v>641</v>
      </c>
      <c r="J52" s="20"/>
    </row>
    <row r="53" spans="1:10" x14ac:dyDescent="0.3">
      <c r="A53" s="1">
        <v>3</v>
      </c>
      <c r="C53" s="17" t="s">
        <v>734</v>
      </c>
      <c r="D53" s="1" t="s">
        <v>735</v>
      </c>
      <c r="E53" s="20">
        <v>350</v>
      </c>
      <c r="F53" s="27">
        <v>0.3</v>
      </c>
      <c r="G53" s="20">
        <f t="shared" si="4"/>
        <v>500.00000000000006</v>
      </c>
      <c r="H53" s="18">
        <f t="shared" si="1"/>
        <v>150.00000000000006</v>
      </c>
      <c r="I53" s="1" t="s">
        <v>641</v>
      </c>
      <c r="J53" s="20"/>
    </row>
    <row r="54" spans="1:10" x14ac:dyDescent="0.3">
      <c r="C54" s="1" t="s">
        <v>741</v>
      </c>
      <c r="D54" s="1" t="s">
        <v>749</v>
      </c>
      <c r="E54" s="54">
        <v>275</v>
      </c>
      <c r="F54" s="27">
        <v>0.3</v>
      </c>
      <c r="G54" s="20">
        <f t="shared" si="4"/>
        <v>392.85714285714289</v>
      </c>
      <c r="H54" s="18">
        <f t="shared" si="1"/>
        <v>117.85714285714289</v>
      </c>
      <c r="I54" s="1" t="s">
        <v>641</v>
      </c>
      <c r="J54" s="20"/>
    </row>
    <row r="55" spans="1:10" x14ac:dyDescent="0.3">
      <c r="A55" s="1" t="s">
        <v>1032</v>
      </c>
      <c r="C55" s="1" t="s">
        <v>742</v>
      </c>
      <c r="D55" s="1" t="s">
        <v>743</v>
      </c>
      <c r="E55" s="54">
        <v>325</v>
      </c>
      <c r="F55" s="27">
        <v>0.3</v>
      </c>
      <c r="G55" s="20">
        <f t="shared" si="4"/>
        <v>464.28571428571433</v>
      </c>
      <c r="H55" s="18">
        <f t="shared" si="1"/>
        <v>139.28571428571433</v>
      </c>
      <c r="I55" s="1" t="s">
        <v>641</v>
      </c>
      <c r="J55" s="20"/>
    </row>
    <row r="56" spans="1:10" x14ac:dyDescent="0.3">
      <c r="A56" s="1">
        <v>6</v>
      </c>
      <c r="C56" s="17" t="s">
        <v>1169</v>
      </c>
      <c r="D56" s="1" t="s">
        <v>1170</v>
      </c>
      <c r="E56" s="55">
        <v>225</v>
      </c>
      <c r="F56" s="27">
        <v>0.3</v>
      </c>
      <c r="G56" s="20">
        <f t="shared" si="4"/>
        <v>321.42857142857144</v>
      </c>
      <c r="H56" s="18">
        <f t="shared" si="1"/>
        <v>96.428571428571445</v>
      </c>
      <c r="I56" s="1" t="s">
        <v>641</v>
      </c>
      <c r="J56" s="20"/>
    </row>
    <row r="57" spans="1:10" x14ac:dyDescent="0.3">
      <c r="C57" s="1" t="s">
        <v>653</v>
      </c>
      <c r="D57" s="1" t="s">
        <v>654</v>
      </c>
      <c r="E57" s="18">
        <v>254.24</v>
      </c>
      <c r="F57" s="27">
        <v>0.3</v>
      </c>
      <c r="G57" s="20">
        <f t="shared" si="4"/>
        <v>363.20000000000005</v>
      </c>
      <c r="H57" s="18">
        <f t="shared" si="1"/>
        <v>108.96000000000004</v>
      </c>
      <c r="I57" s="1" t="s">
        <v>641</v>
      </c>
      <c r="J57" s="20"/>
    </row>
    <row r="58" spans="1:10" x14ac:dyDescent="0.3">
      <c r="C58" s="1" t="s">
        <v>680</v>
      </c>
      <c r="D58" s="1" t="s">
        <v>681</v>
      </c>
      <c r="E58" s="18">
        <v>233.05</v>
      </c>
      <c r="F58" s="27">
        <v>0.3</v>
      </c>
      <c r="G58" s="20">
        <f t="shared" si="4"/>
        <v>332.92857142857144</v>
      </c>
      <c r="H58" s="18">
        <f t="shared" si="1"/>
        <v>99.878571428571433</v>
      </c>
      <c r="I58" s="1" t="s">
        <v>641</v>
      </c>
      <c r="J58" s="20"/>
    </row>
    <row r="59" spans="1:10" x14ac:dyDescent="0.3">
      <c r="C59" s="1" t="s">
        <v>720</v>
      </c>
      <c r="D59" s="1" t="s">
        <v>721</v>
      </c>
      <c r="E59" s="18">
        <v>370</v>
      </c>
      <c r="F59" s="27">
        <v>0.2</v>
      </c>
      <c r="G59" s="20">
        <f t="shared" si="4"/>
        <v>462.5</v>
      </c>
      <c r="H59" s="18">
        <f t="shared" si="1"/>
        <v>92.5</v>
      </c>
      <c r="I59" s="1" t="s">
        <v>704</v>
      </c>
      <c r="J59" s="20">
        <v>480</v>
      </c>
    </row>
    <row r="60" spans="1:10" x14ac:dyDescent="0.3">
      <c r="C60" s="1" t="s">
        <v>722</v>
      </c>
      <c r="D60" s="1" t="s">
        <v>723</v>
      </c>
      <c r="E60" s="18">
        <v>360</v>
      </c>
      <c r="F60" s="27">
        <v>0.2</v>
      </c>
      <c r="G60" s="20">
        <f t="shared" si="4"/>
        <v>450</v>
      </c>
      <c r="H60" s="18">
        <f t="shared" si="1"/>
        <v>90</v>
      </c>
      <c r="I60" s="1" t="s">
        <v>704</v>
      </c>
      <c r="J60" s="20"/>
    </row>
    <row r="61" spans="1:10" x14ac:dyDescent="0.3">
      <c r="A61" s="1">
        <v>2</v>
      </c>
      <c r="C61" s="1" t="s">
        <v>732</v>
      </c>
      <c r="D61" s="1" t="s">
        <v>1007</v>
      </c>
      <c r="E61" s="18">
        <v>380</v>
      </c>
      <c r="F61" s="27">
        <v>0.3</v>
      </c>
      <c r="G61" s="20">
        <f t="shared" si="4"/>
        <v>542.85714285714289</v>
      </c>
      <c r="H61" s="18">
        <f t="shared" si="1"/>
        <v>162.85714285714289</v>
      </c>
      <c r="I61" s="1" t="s">
        <v>704</v>
      </c>
      <c r="J61" s="20">
        <v>520</v>
      </c>
    </row>
    <row r="62" spans="1:10" x14ac:dyDescent="0.3">
      <c r="A62" s="1">
        <v>1</v>
      </c>
      <c r="D62" s="1" t="s">
        <v>716</v>
      </c>
      <c r="E62" s="18">
        <v>480</v>
      </c>
      <c r="F62" s="27">
        <v>0.3</v>
      </c>
      <c r="G62" s="20">
        <f t="shared" si="4"/>
        <v>685.71428571428578</v>
      </c>
      <c r="H62" s="18">
        <f t="shared" si="1"/>
        <v>205.71428571428578</v>
      </c>
      <c r="I62" s="1" t="s">
        <v>704</v>
      </c>
      <c r="J62" s="20"/>
    </row>
    <row r="63" spans="1:10" x14ac:dyDescent="0.3">
      <c r="A63" s="1">
        <v>1</v>
      </c>
      <c r="B63" s="1">
        <v>96540541</v>
      </c>
      <c r="D63" s="1" t="s">
        <v>711</v>
      </c>
      <c r="E63" s="18">
        <v>250</v>
      </c>
      <c r="F63" s="27">
        <v>0.3</v>
      </c>
      <c r="G63" s="20">
        <f t="shared" si="4"/>
        <v>357.14285714285717</v>
      </c>
      <c r="H63" s="18">
        <f t="shared" si="1"/>
        <v>107.14285714285717</v>
      </c>
      <c r="I63" s="1" t="s">
        <v>704</v>
      </c>
      <c r="J63" s="20">
        <v>360</v>
      </c>
    </row>
    <row r="64" spans="1:10" x14ac:dyDescent="0.3">
      <c r="D64" s="1" t="s">
        <v>728</v>
      </c>
      <c r="E64" s="18">
        <v>250</v>
      </c>
      <c r="F64" s="27">
        <v>0.3</v>
      </c>
      <c r="G64" s="20">
        <f t="shared" si="4"/>
        <v>357.14285714285717</v>
      </c>
      <c r="H64" s="18">
        <f t="shared" si="1"/>
        <v>107.14285714285717</v>
      </c>
      <c r="I64" s="1" t="s">
        <v>704</v>
      </c>
      <c r="J64" s="20"/>
    </row>
    <row r="65" spans="1:11" x14ac:dyDescent="0.3">
      <c r="A65" s="1">
        <v>1</v>
      </c>
      <c r="B65" s="1">
        <v>1002114000</v>
      </c>
      <c r="D65" s="1" t="s">
        <v>712</v>
      </c>
      <c r="E65" s="18">
        <v>185</v>
      </c>
      <c r="F65" s="27">
        <v>0.3</v>
      </c>
      <c r="G65" s="20">
        <f t="shared" si="4"/>
        <v>264.28571428571428</v>
      </c>
      <c r="H65" s="18">
        <f t="shared" si="1"/>
        <v>79.285714285714278</v>
      </c>
      <c r="I65" s="1" t="s">
        <v>704</v>
      </c>
      <c r="J65" s="20">
        <v>250</v>
      </c>
    </row>
    <row r="66" spans="1:11" x14ac:dyDescent="0.3">
      <c r="A66" s="1">
        <v>1</v>
      </c>
      <c r="B66" s="1" t="s">
        <v>730</v>
      </c>
      <c r="D66" s="17" t="s">
        <v>731</v>
      </c>
      <c r="E66" s="20">
        <v>240</v>
      </c>
      <c r="F66" s="27">
        <v>0.3</v>
      </c>
      <c r="G66" s="20">
        <f t="shared" si="4"/>
        <v>342.85714285714289</v>
      </c>
      <c r="H66" s="18">
        <f t="shared" si="1"/>
        <v>102.85714285714289</v>
      </c>
      <c r="I66" s="1" t="s">
        <v>704</v>
      </c>
      <c r="J66" s="20"/>
    </row>
    <row r="67" spans="1:11" x14ac:dyDescent="0.3">
      <c r="A67" s="1">
        <v>1</v>
      </c>
      <c r="B67" s="1" t="s">
        <v>1011</v>
      </c>
      <c r="D67" s="1" t="s">
        <v>1006</v>
      </c>
      <c r="E67" s="18">
        <v>360</v>
      </c>
      <c r="F67" s="27">
        <v>0.2</v>
      </c>
      <c r="G67" s="20">
        <f t="shared" si="4"/>
        <v>450</v>
      </c>
      <c r="H67" s="18">
        <f t="shared" si="1"/>
        <v>90</v>
      </c>
      <c r="I67" s="1" t="s">
        <v>704</v>
      </c>
      <c r="J67" s="20"/>
    </row>
    <row r="68" spans="1:11" x14ac:dyDescent="0.3">
      <c r="D68" s="1" t="s">
        <v>717</v>
      </c>
      <c r="E68" s="18">
        <v>240</v>
      </c>
      <c r="F68" s="27">
        <v>0.3</v>
      </c>
      <c r="G68" s="20">
        <f t="shared" si="4"/>
        <v>342.85714285714289</v>
      </c>
      <c r="H68" s="18">
        <f t="shared" si="1"/>
        <v>102.85714285714289</v>
      </c>
      <c r="I68" s="1" t="s">
        <v>704</v>
      </c>
      <c r="J68" s="20"/>
    </row>
    <row r="69" spans="1:11" x14ac:dyDescent="0.3">
      <c r="D69" s="17" t="s">
        <v>1474</v>
      </c>
      <c r="E69" s="20">
        <v>380</v>
      </c>
      <c r="F69" s="27">
        <v>0.3</v>
      </c>
      <c r="G69" s="20">
        <f t="shared" si="4"/>
        <v>542.85714285714289</v>
      </c>
      <c r="H69" s="18">
        <f t="shared" si="1"/>
        <v>162.85714285714289</v>
      </c>
      <c r="I69" s="1" t="s">
        <v>704</v>
      </c>
      <c r="J69" s="20"/>
      <c r="K69" s="1">
        <v>480</v>
      </c>
    </row>
    <row r="70" spans="1:11" x14ac:dyDescent="0.3">
      <c r="A70" s="17">
        <v>1</v>
      </c>
      <c r="B70" s="1" t="s">
        <v>1348</v>
      </c>
      <c r="D70" s="17" t="s">
        <v>724</v>
      </c>
      <c r="E70" s="20">
        <v>380</v>
      </c>
      <c r="F70" s="27">
        <v>0.3</v>
      </c>
      <c r="G70" s="20">
        <f t="shared" si="4"/>
        <v>542.85714285714289</v>
      </c>
      <c r="H70" s="18">
        <f t="shared" si="1"/>
        <v>162.85714285714289</v>
      </c>
      <c r="I70" s="1" t="s">
        <v>704</v>
      </c>
      <c r="J70" s="20"/>
    </row>
    <row r="71" spans="1:11" x14ac:dyDescent="0.3">
      <c r="A71" s="1">
        <v>1</v>
      </c>
      <c r="D71" s="1" t="s">
        <v>1350</v>
      </c>
      <c r="E71" s="18">
        <v>420</v>
      </c>
      <c r="F71" s="27">
        <v>0.3</v>
      </c>
      <c r="G71" s="20">
        <f t="shared" si="4"/>
        <v>600</v>
      </c>
      <c r="H71" s="18">
        <f t="shared" si="1"/>
        <v>180</v>
      </c>
      <c r="I71" s="1" t="s">
        <v>704</v>
      </c>
      <c r="J71" s="20"/>
    </row>
    <row r="72" spans="1:11" x14ac:dyDescent="0.3">
      <c r="D72" s="1" t="s">
        <v>727</v>
      </c>
      <c r="E72" s="18">
        <v>460</v>
      </c>
      <c r="F72" s="27">
        <v>0.3</v>
      </c>
      <c r="G72" s="20">
        <f t="shared" si="4"/>
        <v>657.14285714285722</v>
      </c>
      <c r="H72" s="18">
        <f t="shared" si="1"/>
        <v>197.14285714285722</v>
      </c>
      <c r="I72" s="1" t="s">
        <v>704</v>
      </c>
      <c r="J72" s="20"/>
    </row>
    <row r="73" spans="1:11" x14ac:dyDescent="0.3">
      <c r="C73" s="1" t="s">
        <v>1577</v>
      </c>
      <c r="D73" s="1" t="s">
        <v>718</v>
      </c>
      <c r="E73" s="18">
        <v>250</v>
      </c>
      <c r="F73" s="27">
        <v>0.3</v>
      </c>
      <c r="G73" s="20">
        <f t="shared" si="4"/>
        <v>357.14285714285717</v>
      </c>
      <c r="H73" s="18">
        <f t="shared" si="1"/>
        <v>107.14285714285717</v>
      </c>
      <c r="I73" s="1" t="s">
        <v>704</v>
      </c>
      <c r="J73" s="20">
        <v>350</v>
      </c>
    </row>
    <row r="74" spans="1:11" x14ac:dyDescent="0.3">
      <c r="A74" s="1">
        <v>1</v>
      </c>
      <c r="B74" s="1" t="s">
        <v>707</v>
      </c>
      <c r="D74" s="1" t="s">
        <v>1578</v>
      </c>
      <c r="E74" s="20">
        <v>250</v>
      </c>
      <c r="F74" s="27">
        <v>0.3</v>
      </c>
      <c r="G74" s="20">
        <f t="shared" si="4"/>
        <v>357.14285714285717</v>
      </c>
      <c r="H74" s="18">
        <f t="shared" si="1"/>
        <v>107.14285714285717</v>
      </c>
      <c r="I74" s="1" t="s">
        <v>704</v>
      </c>
      <c r="J74" s="20"/>
    </row>
    <row r="75" spans="1:11" x14ac:dyDescent="0.3">
      <c r="D75" s="1" t="s">
        <v>725</v>
      </c>
      <c r="E75" s="18">
        <v>330</v>
      </c>
      <c r="F75" s="27">
        <v>0.3</v>
      </c>
      <c r="G75" s="20">
        <f t="shared" si="4"/>
        <v>471.42857142857144</v>
      </c>
      <c r="H75" s="18">
        <f t="shared" si="1"/>
        <v>141.42857142857144</v>
      </c>
      <c r="I75" s="1" t="s">
        <v>704</v>
      </c>
      <c r="J75" s="20"/>
    </row>
    <row r="76" spans="1:11" x14ac:dyDescent="0.3">
      <c r="A76" s="1">
        <v>1</v>
      </c>
      <c r="C76" s="1" t="s">
        <v>1458</v>
      </c>
      <c r="D76" s="1" t="s">
        <v>729</v>
      </c>
      <c r="E76" s="20">
        <v>320</v>
      </c>
      <c r="F76" s="27">
        <v>0.3</v>
      </c>
      <c r="G76" s="20">
        <f t="shared" si="4"/>
        <v>457.14285714285717</v>
      </c>
      <c r="H76" s="18">
        <f t="shared" si="1"/>
        <v>137.14285714285717</v>
      </c>
      <c r="I76" s="1" t="s">
        <v>704</v>
      </c>
      <c r="J76" s="20"/>
      <c r="K76" s="1">
        <v>450</v>
      </c>
    </row>
    <row r="77" spans="1:11" x14ac:dyDescent="0.3">
      <c r="B77" s="1" t="s">
        <v>709</v>
      </c>
      <c r="D77" s="1" t="s">
        <v>1002</v>
      </c>
      <c r="E77" s="18">
        <v>250</v>
      </c>
      <c r="F77" s="27">
        <v>0.3</v>
      </c>
      <c r="G77" s="20">
        <f t="shared" si="4"/>
        <v>357.14285714285717</v>
      </c>
      <c r="H77" s="18">
        <f t="shared" ref="H77:H98" si="5">G77-E77</f>
        <v>107.14285714285717</v>
      </c>
      <c r="I77" s="1" t="s">
        <v>704</v>
      </c>
      <c r="J77" s="20">
        <v>330</v>
      </c>
    </row>
    <row r="78" spans="1:11" x14ac:dyDescent="0.3">
      <c r="D78" s="1" t="s">
        <v>706</v>
      </c>
      <c r="E78" s="18">
        <v>350</v>
      </c>
      <c r="F78" s="27">
        <v>0.3</v>
      </c>
      <c r="G78" s="20">
        <f t="shared" si="4"/>
        <v>500.00000000000006</v>
      </c>
      <c r="H78" s="18">
        <f t="shared" si="5"/>
        <v>150.00000000000006</v>
      </c>
      <c r="I78" s="1" t="s">
        <v>704</v>
      </c>
      <c r="J78" s="20"/>
    </row>
    <row r="79" spans="1:11" x14ac:dyDescent="0.3">
      <c r="B79" s="1" t="s">
        <v>702</v>
      </c>
      <c r="D79" s="1" t="s">
        <v>703</v>
      </c>
      <c r="E79" s="18">
        <v>390</v>
      </c>
      <c r="F79" s="27">
        <v>0.3</v>
      </c>
      <c r="G79" s="20">
        <f t="shared" ref="G79:G92" si="6">E79/(1-F79)</f>
        <v>557.14285714285722</v>
      </c>
      <c r="H79" s="18">
        <f t="shared" si="5"/>
        <v>167.14285714285722</v>
      </c>
      <c r="I79" s="1" t="s">
        <v>704</v>
      </c>
      <c r="J79" s="20"/>
    </row>
    <row r="80" spans="1:11" x14ac:dyDescent="0.3">
      <c r="D80" s="1" t="s">
        <v>710</v>
      </c>
      <c r="E80" s="18">
        <v>250</v>
      </c>
      <c r="F80" s="27">
        <v>0.3</v>
      </c>
      <c r="G80" s="20">
        <f t="shared" si="6"/>
        <v>357.14285714285717</v>
      </c>
      <c r="H80" s="18">
        <f t="shared" si="5"/>
        <v>107.14285714285717</v>
      </c>
      <c r="I80" s="1" t="s">
        <v>704</v>
      </c>
      <c r="J80" s="20"/>
    </row>
    <row r="81" spans="1:10" x14ac:dyDescent="0.3">
      <c r="D81" s="1" t="s">
        <v>708</v>
      </c>
      <c r="E81" s="18">
        <v>250</v>
      </c>
      <c r="F81" s="27">
        <v>0.3</v>
      </c>
      <c r="G81" s="20">
        <f t="shared" si="6"/>
        <v>357.14285714285717</v>
      </c>
      <c r="H81" s="18">
        <f t="shared" si="5"/>
        <v>107.14285714285717</v>
      </c>
      <c r="I81" s="1" t="s">
        <v>704</v>
      </c>
      <c r="J81" s="20"/>
    </row>
    <row r="82" spans="1:10" x14ac:dyDescent="0.3">
      <c r="B82" s="1" t="s">
        <v>705</v>
      </c>
      <c r="D82" s="1" t="s">
        <v>915</v>
      </c>
      <c r="E82" s="18">
        <v>240</v>
      </c>
      <c r="F82" s="27">
        <v>0.3</v>
      </c>
      <c r="G82" s="20">
        <f t="shared" si="6"/>
        <v>342.85714285714289</v>
      </c>
      <c r="H82" s="18">
        <f t="shared" si="5"/>
        <v>102.85714285714289</v>
      </c>
      <c r="I82" s="1" t="s">
        <v>704</v>
      </c>
      <c r="J82" s="20"/>
    </row>
    <row r="83" spans="1:10" x14ac:dyDescent="0.3">
      <c r="D83" s="1" t="s">
        <v>719</v>
      </c>
      <c r="E83" s="18">
        <v>360</v>
      </c>
      <c r="F83" s="27">
        <v>0.2</v>
      </c>
      <c r="G83" s="20">
        <f t="shared" si="6"/>
        <v>450</v>
      </c>
      <c r="H83" s="18">
        <f t="shared" si="5"/>
        <v>90</v>
      </c>
      <c r="I83" s="1" t="s">
        <v>704</v>
      </c>
      <c r="J83" s="20">
        <v>470</v>
      </c>
    </row>
    <row r="84" spans="1:10" x14ac:dyDescent="0.3">
      <c r="B84" s="1" t="s">
        <v>914</v>
      </c>
      <c r="D84" s="1" t="s">
        <v>713</v>
      </c>
      <c r="E84" s="18">
        <v>190</v>
      </c>
      <c r="F84" s="27">
        <v>0.3</v>
      </c>
      <c r="G84" s="20">
        <f t="shared" si="6"/>
        <v>271.42857142857144</v>
      </c>
      <c r="H84" s="18">
        <f t="shared" si="5"/>
        <v>81.428571428571445</v>
      </c>
      <c r="I84" s="1" t="s">
        <v>704</v>
      </c>
      <c r="J84" s="20"/>
    </row>
    <row r="85" spans="1:10" x14ac:dyDescent="0.3">
      <c r="D85" s="1" t="s">
        <v>1004</v>
      </c>
      <c r="E85" s="18">
        <v>240</v>
      </c>
      <c r="F85" s="27">
        <v>0.3</v>
      </c>
      <c r="G85" s="20">
        <f t="shared" si="6"/>
        <v>342.85714285714289</v>
      </c>
      <c r="H85" s="18">
        <f t="shared" si="5"/>
        <v>102.85714285714289</v>
      </c>
      <c r="I85" s="1" t="s">
        <v>704</v>
      </c>
      <c r="J85" s="20"/>
    </row>
    <row r="86" spans="1:10" x14ac:dyDescent="0.3">
      <c r="D86" s="1" t="s">
        <v>1005</v>
      </c>
      <c r="E86" s="18">
        <v>460</v>
      </c>
      <c r="F86" s="27">
        <v>0.3</v>
      </c>
      <c r="G86" s="20">
        <f t="shared" si="6"/>
        <v>657.14285714285722</v>
      </c>
      <c r="H86" s="18">
        <f t="shared" si="5"/>
        <v>197.14285714285722</v>
      </c>
      <c r="I86" s="1" t="s">
        <v>704</v>
      </c>
      <c r="J86" s="20"/>
    </row>
    <row r="87" spans="1:10" x14ac:dyDescent="0.3">
      <c r="A87" s="1">
        <v>1</v>
      </c>
      <c r="B87" s="1">
        <v>13896</v>
      </c>
      <c r="D87" s="1" t="s">
        <v>715</v>
      </c>
      <c r="E87" s="18">
        <v>240</v>
      </c>
      <c r="F87" s="27">
        <v>0.3</v>
      </c>
      <c r="G87" s="20">
        <f t="shared" si="6"/>
        <v>342.85714285714289</v>
      </c>
      <c r="H87" s="18">
        <f t="shared" si="5"/>
        <v>102.85714285714289</v>
      </c>
      <c r="I87" s="1" t="s">
        <v>704</v>
      </c>
      <c r="J87" s="20"/>
    </row>
    <row r="88" spans="1:10" x14ac:dyDescent="0.3">
      <c r="A88" s="1">
        <v>1</v>
      </c>
      <c r="B88" s="1" t="s">
        <v>916</v>
      </c>
      <c r="D88" s="1" t="s">
        <v>714</v>
      </c>
      <c r="E88" s="18">
        <v>240</v>
      </c>
      <c r="F88" s="27">
        <v>0.3</v>
      </c>
      <c r="G88" s="20">
        <f t="shared" si="6"/>
        <v>342.85714285714289</v>
      </c>
      <c r="H88" s="18">
        <f t="shared" si="5"/>
        <v>102.85714285714289</v>
      </c>
      <c r="I88" s="1" t="s">
        <v>704</v>
      </c>
      <c r="J88" s="20"/>
    </row>
    <row r="89" spans="1:10" x14ac:dyDescent="0.3">
      <c r="D89" s="1" t="s">
        <v>726</v>
      </c>
      <c r="E89" s="18">
        <v>450</v>
      </c>
      <c r="F89" s="27">
        <v>0.2</v>
      </c>
      <c r="G89" s="20">
        <f t="shared" si="6"/>
        <v>562.5</v>
      </c>
      <c r="H89" s="18">
        <f t="shared" si="5"/>
        <v>112.5</v>
      </c>
      <c r="I89" s="1" t="s">
        <v>704</v>
      </c>
      <c r="J89" s="20">
        <v>610</v>
      </c>
    </row>
    <row r="90" spans="1:10" x14ac:dyDescent="0.3">
      <c r="D90" s="1" t="s">
        <v>1003</v>
      </c>
      <c r="E90" s="18">
        <v>340</v>
      </c>
      <c r="F90" s="27">
        <v>0.3</v>
      </c>
      <c r="G90" s="20">
        <f t="shared" si="6"/>
        <v>485.71428571428572</v>
      </c>
      <c r="H90" s="18">
        <f t="shared" si="5"/>
        <v>145.71428571428572</v>
      </c>
      <c r="I90" s="1" t="s">
        <v>704</v>
      </c>
      <c r="J90" s="20"/>
    </row>
    <row r="91" spans="1:10" x14ac:dyDescent="0.3">
      <c r="A91" s="1">
        <v>1</v>
      </c>
      <c r="D91" s="1" t="s">
        <v>1010</v>
      </c>
      <c r="E91" s="18">
        <v>460</v>
      </c>
      <c r="F91" s="27">
        <v>0.3</v>
      </c>
      <c r="G91" s="20">
        <f t="shared" si="6"/>
        <v>657.14285714285722</v>
      </c>
      <c r="H91" s="18">
        <f t="shared" si="5"/>
        <v>197.14285714285722</v>
      </c>
      <c r="I91" s="1" t="s">
        <v>704</v>
      </c>
      <c r="J91" s="20"/>
    </row>
    <row r="92" spans="1:10" x14ac:dyDescent="0.3">
      <c r="A92" s="1">
        <v>1</v>
      </c>
      <c r="B92" s="1" t="s">
        <v>1012</v>
      </c>
      <c r="D92" s="1" t="s">
        <v>1008</v>
      </c>
      <c r="E92" s="18">
        <v>250</v>
      </c>
      <c r="F92" s="27">
        <v>0.3</v>
      </c>
      <c r="G92" s="20">
        <f t="shared" si="6"/>
        <v>357.14285714285717</v>
      </c>
      <c r="H92" s="18">
        <f t="shared" si="5"/>
        <v>107.14285714285717</v>
      </c>
      <c r="I92" s="1" t="s">
        <v>704</v>
      </c>
      <c r="J92" s="20"/>
    </row>
    <row r="93" spans="1:10" x14ac:dyDescent="0.3">
      <c r="A93" s="1">
        <v>1</v>
      </c>
      <c r="B93" s="1">
        <v>2608483</v>
      </c>
      <c r="D93" s="1" t="s">
        <v>1009</v>
      </c>
      <c r="E93" s="18">
        <v>370</v>
      </c>
      <c r="F93" s="27">
        <v>0.3</v>
      </c>
      <c r="G93" s="20">
        <f>E93/(1-F93)</f>
        <v>528.57142857142856</v>
      </c>
      <c r="H93" s="18">
        <f t="shared" si="5"/>
        <v>158.57142857142856</v>
      </c>
      <c r="I93" s="1" t="s">
        <v>704</v>
      </c>
      <c r="J93" s="20"/>
    </row>
    <row r="94" spans="1:10" x14ac:dyDescent="0.3">
      <c r="A94" s="1" t="s">
        <v>1019</v>
      </c>
      <c r="D94" s="1" t="s">
        <v>1024</v>
      </c>
      <c r="E94" s="18">
        <v>430</v>
      </c>
      <c r="F94" s="27">
        <v>0.3</v>
      </c>
      <c r="G94" s="20">
        <f>E94/(1-F94)</f>
        <v>614.28571428571433</v>
      </c>
      <c r="H94" s="18">
        <f t="shared" si="5"/>
        <v>184.28571428571433</v>
      </c>
      <c r="I94" s="1" t="s">
        <v>704</v>
      </c>
    </row>
    <row r="95" spans="1:10" x14ac:dyDescent="0.3">
      <c r="B95" s="1" t="s">
        <v>1194</v>
      </c>
      <c r="D95" s="1" t="s">
        <v>1314</v>
      </c>
      <c r="E95" s="18">
        <v>350</v>
      </c>
      <c r="F95" s="27">
        <v>0.3</v>
      </c>
      <c r="G95" s="20">
        <f t="shared" ref="G95:G98" si="7">E95/(1-F95)</f>
        <v>500.00000000000006</v>
      </c>
      <c r="H95" s="18">
        <f t="shared" si="5"/>
        <v>150.00000000000006</v>
      </c>
      <c r="I95" s="1" t="s">
        <v>704</v>
      </c>
    </row>
    <row r="96" spans="1:10" x14ac:dyDescent="0.3">
      <c r="A96" s="1">
        <v>1</v>
      </c>
      <c r="B96" s="1">
        <v>94751297</v>
      </c>
      <c r="D96" s="1" t="s">
        <v>1349</v>
      </c>
      <c r="E96" s="18">
        <v>400</v>
      </c>
      <c r="F96" s="27">
        <v>0.3</v>
      </c>
      <c r="G96" s="20">
        <f t="shared" si="7"/>
        <v>571.42857142857144</v>
      </c>
      <c r="H96" s="18">
        <f t="shared" si="5"/>
        <v>171.42857142857144</v>
      </c>
      <c r="I96" s="1" t="s">
        <v>704</v>
      </c>
    </row>
    <row r="97" spans="1:8" x14ac:dyDescent="0.3">
      <c r="A97" s="1">
        <v>1</v>
      </c>
      <c r="B97" s="1" t="s">
        <v>1346</v>
      </c>
      <c r="D97" s="1" t="s">
        <v>1347</v>
      </c>
      <c r="F97" s="27">
        <v>0.3</v>
      </c>
      <c r="G97" s="20">
        <f t="shared" si="7"/>
        <v>0</v>
      </c>
      <c r="H97" s="18">
        <f t="shared" si="5"/>
        <v>0</v>
      </c>
    </row>
    <row r="98" spans="1:8" x14ac:dyDescent="0.3">
      <c r="A98" s="1">
        <v>1</v>
      </c>
      <c r="B98" s="1">
        <v>24528036</v>
      </c>
      <c r="D98" s="1" t="s">
        <v>677</v>
      </c>
      <c r="E98" s="18">
        <v>400</v>
      </c>
      <c r="F98" s="27">
        <v>0.3</v>
      </c>
      <c r="G98" s="20">
        <f t="shared" si="7"/>
        <v>571.42857142857144</v>
      </c>
      <c r="H98" s="18">
        <f t="shared" si="5"/>
        <v>171.42857142857144</v>
      </c>
    </row>
    <row r="99" spans="1:8" x14ac:dyDescent="0.3">
      <c r="B99" s="1" t="s">
        <v>1373</v>
      </c>
      <c r="D99" s="1" t="s">
        <v>1374</v>
      </c>
    </row>
    <row r="100" spans="1:8" x14ac:dyDescent="0.3">
      <c r="A100" s="1" t="s">
        <v>1569</v>
      </c>
      <c r="D100" s="1" t="s">
        <v>1570</v>
      </c>
    </row>
  </sheetData>
  <autoFilter ref="A1:J9" xr:uid="{86EA23EA-92A0-4E46-9550-91A935055E8A}">
    <filterColumn colId="2">
      <colorFilter dxfId="0"/>
    </filterColumn>
    <sortState xmlns:xlrd2="http://schemas.microsoft.com/office/spreadsheetml/2017/richdata2" ref="A2:J9">
      <sortCondition sortBy="cellColor" ref="C1:C9" dxfId="2"/>
    </sortState>
  </autoFilter>
  <sortState xmlns:xlrd2="http://schemas.microsoft.com/office/spreadsheetml/2017/richdata2" ref="A20:J90">
    <sortCondition ref="C20:C90" customList="VT-SG-,VT-SG-,YP-ALT-,YP-ALT-,YP-ST-,YP-ST-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ACC7-6641-4647-B005-B0D245787AD8}">
  <dimension ref="A3:M51"/>
  <sheetViews>
    <sheetView workbookViewId="0">
      <selection activeCell="B10" sqref="B10"/>
    </sheetView>
  </sheetViews>
  <sheetFormatPr baseColWidth="10" defaultRowHeight="16.5" x14ac:dyDescent="0.3"/>
  <cols>
    <col min="1" max="1" width="12" customWidth="1"/>
    <col min="2" max="2" width="19.375" customWidth="1"/>
    <col min="4" max="4" width="45.5" customWidth="1"/>
  </cols>
  <sheetData>
    <row r="3" spans="1:2" x14ac:dyDescent="0.3">
      <c r="A3" t="s">
        <v>1209</v>
      </c>
      <c r="B3" t="s">
        <v>1210</v>
      </c>
    </row>
    <row r="4" spans="1:2" x14ac:dyDescent="0.3">
      <c r="A4" t="s">
        <v>1211</v>
      </c>
    </row>
    <row r="5" spans="1:2" x14ac:dyDescent="0.3">
      <c r="A5" t="s">
        <v>1212</v>
      </c>
    </row>
    <row r="6" spans="1:2" x14ac:dyDescent="0.3">
      <c r="A6" t="s">
        <v>1213</v>
      </c>
      <c r="B6" t="s">
        <v>1214</v>
      </c>
    </row>
    <row r="7" spans="1:2" x14ac:dyDescent="0.3">
      <c r="A7" t="s">
        <v>1216</v>
      </c>
      <c r="B7" t="s">
        <v>1215</v>
      </c>
    </row>
    <row r="8" spans="1:2" x14ac:dyDescent="0.3">
      <c r="A8" t="s">
        <v>1217</v>
      </c>
    </row>
    <row r="9" spans="1:2" x14ac:dyDescent="0.3">
      <c r="A9" t="s">
        <v>1218</v>
      </c>
    </row>
    <row r="10" spans="1:2" x14ac:dyDescent="0.3">
      <c r="A10" t="s">
        <v>1219</v>
      </c>
      <c r="B10" t="s">
        <v>1220</v>
      </c>
    </row>
    <row r="11" spans="1:2" x14ac:dyDescent="0.3">
      <c r="A11" t="s">
        <v>1221</v>
      </c>
    </row>
    <row r="12" spans="1:2" x14ac:dyDescent="0.3">
      <c r="A12" t="s">
        <v>1222</v>
      </c>
    </row>
    <row r="13" spans="1:2" s="51" customFormat="1" x14ac:dyDescent="0.3">
      <c r="A13" s="51" t="s">
        <v>1223</v>
      </c>
    </row>
    <row r="14" spans="1:2" ht="18.75" customHeight="1" x14ac:dyDescent="0.3">
      <c r="A14" s="29" t="s">
        <v>1257</v>
      </c>
      <c r="B14" s="30" t="s">
        <v>1258</v>
      </c>
    </row>
    <row r="15" spans="1:2" x14ac:dyDescent="0.3">
      <c r="A15" t="s">
        <v>1259</v>
      </c>
    </row>
    <row r="16" spans="1:2" x14ac:dyDescent="0.3">
      <c r="A16" t="s">
        <v>1266</v>
      </c>
    </row>
    <row r="17" spans="1:13" x14ac:dyDescent="0.3">
      <c r="C17" t="s">
        <v>561</v>
      </c>
      <c r="D17" t="s">
        <v>562</v>
      </c>
      <c r="E17">
        <v>8</v>
      </c>
      <c r="F17" s="3">
        <v>130</v>
      </c>
      <c r="G17" s="4">
        <v>0.3</v>
      </c>
      <c r="H17" s="5">
        <f t="shared" ref="H17" si="0">F17/(1-G17)</f>
        <v>185.71428571428572</v>
      </c>
      <c r="I17" s="3">
        <f t="shared" ref="I17" si="1">H17-F17</f>
        <v>55.714285714285722</v>
      </c>
      <c r="J17" t="s">
        <v>508</v>
      </c>
      <c r="K17" s="2"/>
    </row>
    <row r="18" spans="1:13" x14ac:dyDescent="0.3">
      <c r="B18" t="s">
        <v>1279</v>
      </c>
    </row>
    <row r="19" spans="1:13" x14ac:dyDescent="0.3">
      <c r="B19" t="s">
        <v>914</v>
      </c>
      <c r="D19" t="s">
        <v>713</v>
      </c>
      <c r="E19" s="3">
        <v>190</v>
      </c>
      <c r="F19" s="4">
        <v>0.3</v>
      </c>
      <c r="G19" s="6">
        <f t="shared" ref="G19" si="2">E19/(1-F19)</f>
        <v>271.42857142857144</v>
      </c>
      <c r="H19" s="3">
        <f t="shared" ref="H19" si="3">G19-E19</f>
        <v>81.428571428571445</v>
      </c>
      <c r="I19" t="s">
        <v>704</v>
      </c>
      <c r="J19" s="6"/>
    </row>
    <row r="20" spans="1:13" x14ac:dyDescent="0.3">
      <c r="B20" t="s">
        <v>1282</v>
      </c>
    </row>
    <row r="21" spans="1:13" s="1" customFormat="1" x14ac:dyDescent="0.3">
      <c r="B21" s="1" t="s">
        <v>33</v>
      </c>
      <c r="C21" s="1" t="s">
        <v>273</v>
      </c>
      <c r="D21" s="18"/>
      <c r="E21" s="12">
        <v>0.3</v>
      </c>
      <c r="F21" s="19">
        <v>110</v>
      </c>
      <c r="G21" s="20">
        <f t="shared" ref="G21:G22" si="4">F21-D21</f>
        <v>110</v>
      </c>
      <c r="H21" s="18"/>
      <c r="I21" s="15">
        <v>0.3</v>
      </c>
      <c r="J21" s="21">
        <f t="shared" ref="J21:J22" si="5">H21/(1-I21)</f>
        <v>0</v>
      </c>
      <c r="K21" s="20">
        <f t="shared" ref="K21:K22" si="6">J21-H21</f>
        <v>0</v>
      </c>
      <c r="M21" s="17"/>
    </row>
    <row r="22" spans="1:13" s="1" customFormat="1" x14ac:dyDescent="0.3">
      <c r="B22" s="1" t="s">
        <v>72</v>
      </c>
      <c r="C22" s="1" t="s">
        <v>365</v>
      </c>
      <c r="D22" s="18">
        <v>100</v>
      </c>
      <c r="E22" s="12">
        <v>0.3</v>
      </c>
      <c r="F22" s="19">
        <f t="shared" ref="F22" si="7">D22/(1-E22)</f>
        <v>142.85714285714286</v>
      </c>
      <c r="G22" s="20">
        <f t="shared" si="4"/>
        <v>42.857142857142861</v>
      </c>
      <c r="H22" s="18">
        <v>115</v>
      </c>
      <c r="I22" s="15">
        <v>0.3</v>
      </c>
      <c r="J22" s="21">
        <f t="shared" si="5"/>
        <v>164.28571428571431</v>
      </c>
      <c r="K22" s="20">
        <f t="shared" si="6"/>
        <v>49.285714285714306</v>
      </c>
      <c r="M22" s="17"/>
    </row>
    <row r="23" spans="1:13" x14ac:dyDescent="0.3">
      <c r="A23" t="s">
        <v>1285</v>
      </c>
    </row>
    <row r="24" spans="1:13" x14ac:dyDescent="0.3">
      <c r="B24" t="s">
        <v>1286</v>
      </c>
    </row>
    <row r="25" spans="1:13" x14ac:dyDescent="0.3">
      <c r="C25" t="s">
        <v>695</v>
      </c>
      <c r="D25" t="s">
        <v>696</v>
      </c>
      <c r="E25" s="3">
        <v>220.32</v>
      </c>
      <c r="F25" s="4">
        <v>0.3</v>
      </c>
      <c r="G25" s="6">
        <f t="shared" ref="G25:G26" si="8">E25/(1-F25)</f>
        <v>314.74285714285713</v>
      </c>
      <c r="H25" s="3">
        <f t="shared" ref="H25:H27" si="9">G25-E25</f>
        <v>94.42285714285714</v>
      </c>
      <c r="I25" t="s">
        <v>683</v>
      </c>
      <c r="J25" s="6"/>
    </row>
    <row r="26" spans="1:13" x14ac:dyDescent="0.3">
      <c r="B26" t="s">
        <v>975</v>
      </c>
      <c r="C26" s="50">
        <v>42</v>
      </c>
      <c r="D26" t="s">
        <v>976</v>
      </c>
      <c r="E26" s="3">
        <v>12</v>
      </c>
      <c r="F26" s="8">
        <v>0.3</v>
      </c>
      <c r="G26" s="6">
        <f t="shared" si="8"/>
        <v>17.142857142857142</v>
      </c>
      <c r="H26" s="3">
        <f t="shared" si="9"/>
        <v>5.1428571428571423</v>
      </c>
    </row>
    <row r="27" spans="1:13" x14ac:dyDescent="0.3">
      <c r="C27" t="s">
        <v>738</v>
      </c>
      <c r="D27" t="s">
        <v>627</v>
      </c>
      <c r="E27" s="7">
        <v>435</v>
      </c>
      <c r="F27" s="4">
        <v>0.3</v>
      </c>
      <c r="G27" s="6">
        <f t="shared" ref="G27" si="10">E27/(1-F27)</f>
        <v>621.42857142857144</v>
      </c>
      <c r="H27" s="3">
        <f t="shared" si="9"/>
        <v>186.42857142857144</v>
      </c>
      <c r="I27" t="s">
        <v>641</v>
      </c>
      <c r="J27" s="6"/>
    </row>
    <row r="28" spans="1:13" x14ac:dyDescent="0.3">
      <c r="A28" t="s">
        <v>1317</v>
      </c>
      <c r="B28" t="s">
        <v>1316</v>
      </c>
    </row>
    <row r="29" spans="1:13" x14ac:dyDescent="0.3">
      <c r="A29" t="s">
        <v>1318</v>
      </c>
      <c r="B29" t="s">
        <v>1319</v>
      </c>
    </row>
    <row r="30" spans="1:13" x14ac:dyDescent="0.3">
      <c r="B30" t="s">
        <v>1338</v>
      </c>
    </row>
    <row r="31" spans="1:13" x14ac:dyDescent="0.3">
      <c r="B31" t="s">
        <v>1264</v>
      </c>
      <c r="C31" t="s">
        <v>1265</v>
      </c>
      <c r="D31" t="s">
        <v>1339</v>
      </c>
    </row>
    <row r="32" spans="1:13" x14ac:dyDescent="0.3">
      <c r="B32" t="s">
        <v>1340</v>
      </c>
    </row>
    <row r="33" spans="1:11" x14ac:dyDescent="0.3">
      <c r="A33" t="s">
        <v>1341</v>
      </c>
      <c r="B33" t="s">
        <v>1342</v>
      </c>
    </row>
    <row r="34" spans="1:11" x14ac:dyDescent="0.3">
      <c r="A34" t="s">
        <v>1343</v>
      </c>
      <c r="C34">
        <v>5408</v>
      </c>
    </row>
    <row r="35" spans="1:11" x14ac:dyDescent="0.3">
      <c r="B35" t="s">
        <v>1344</v>
      </c>
      <c r="C35" t="s">
        <v>1345</v>
      </c>
    </row>
    <row r="36" spans="1:11" x14ac:dyDescent="0.3">
      <c r="B36" t="s">
        <v>1361</v>
      </c>
    </row>
    <row r="37" spans="1:11" s="1" customFormat="1" x14ac:dyDescent="0.3">
      <c r="C37" s="1" t="s">
        <v>509</v>
      </c>
      <c r="D37" s="1" t="s">
        <v>510</v>
      </c>
      <c r="F37" s="18">
        <v>260</v>
      </c>
      <c r="G37" s="27">
        <v>0.3</v>
      </c>
      <c r="H37" s="34">
        <f t="shared" ref="H37" si="11">F37/(1-G37)</f>
        <v>371.42857142857144</v>
      </c>
      <c r="I37" s="18">
        <f t="shared" ref="I37" si="12">H37-F37</f>
        <v>111.42857142857144</v>
      </c>
      <c r="J37" s="1" t="s">
        <v>508</v>
      </c>
      <c r="K37" s="17"/>
    </row>
    <row r="38" spans="1:11" x14ac:dyDescent="0.3">
      <c r="A38" s="1"/>
      <c r="B38" s="1" t="s">
        <v>1109</v>
      </c>
      <c r="C38" s="1"/>
      <c r="D38" s="1" t="s">
        <v>795</v>
      </c>
      <c r="E38" s="18">
        <v>55</v>
      </c>
      <c r="F38" s="27">
        <v>0.3</v>
      </c>
      <c r="G38" s="20">
        <f>E38/(1-F38)</f>
        <v>78.571428571428569</v>
      </c>
      <c r="H38" s="1">
        <f t="shared" ref="H38:H39" si="13">G38-E38</f>
        <v>23.571428571428569</v>
      </c>
      <c r="I38" s="1" t="s">
        <v>849</v>
      </c>
      <c r="J38" s="20"/>
    </row>
    <row r="39" spans="1:11" x14ac:dyDescent="0.3">
      <c r="D39" t="s">
        <v>729</v>
      </c>
      <c r="E39" s="3">
        <v>310</v>
      </c>
      <c r="F39" s="4">
        <v>0.3</v>
      </c>
      <c r="G39" s="6">
        <f t="shared" ref="G39" si="14">E39/(1-F39)</f>
        <v>442.85714285714289</v>
      </c>
      <c r="H39" s="3">
        <f t="shared" si="13"/>
        <v>132.85714285714289</v>
      </c>
      <c r="I39" t="s">
        <v>704</v>
      </c>
      <c r="J39" s="6"/>
    </row>
    <row r="40" spans="1:11" x14ac:dyDescent="0.3">
      <c r="A40" t="s">
        <v>1365</v>
      </c>
      <c r="C40" t="s">
        <v>1366</v>
      </c>
    </row>
    <row r="41" spans="1:11" x14ac:dyDescent="0.3">
      <c r="B41" t="s">
        <v>1367</v>
      </c>
    </row>
    <row r="42" spans="1:11" x14ac:dyDescent="0.3">
      <c r="A42" s="1"/>
      <c r="B42" s="1" t="s">
        <v>1238</v>
      </c>
      <c r="C42" s="1"/>
      <c r="D42" s="29" t="s">
        <v>1239</v>
      </c>
      <c r="E42" s="28">
        <v>55</v>
      </c>
      <c r="F42" s="27">
        <v>0.3</v>
      </c>
      <c r="G42" s="1"/>
      <c r="H42" s="1">
        <f t="shared" ref="H42" si="15">G42-E42</f>
        <v>-55</v>
      </c>
      <c r="I42" s="1"/>
      <c r="J42" s="1"/>
    </row>
    <row r="43" spans="1:11" x14ac:dyDescent="0.3">
      <c r="B43" t="s">
        <v>1283</v>
      </c>
      <c r="D43" t="s">
        <v>1284</v>
      </c>
      <c r="E43" s="3"/>
      <c r="F43" s="8"/>
      <c r="G43" s="6"/>
      <c r="H43" s="3"/>
    </row>
    <row r="44" spans="1:11" s="1" customFormat="1" x14ac:dyDescent="0.3">
      <c r="A44" s="1">
        <v>0</v>
      </c>
      <c r="C44" s="1" t="s">
        <v>514</v>
      </c>
      <c r="D44" s="1" t="s">
        <v>632</v>
      </c>
      <c r="E44" s="1" t="s">
        <v>1174</v>
      </c>
      <c r="F44" s="18">
        <v>160</v>
      </c>
      <c r="G44" s="27">
        <v>0.3</v>
      </c>
      <c r="H44" s="34">
        <f t="shared" ref="H44:H45" si="16">F44/(1-G44)</f>
        <v>228.57142857142858</v>
      </c>
      <c r="I44" s="18">
        <f t="shared" ref="I44:I45" si="17">H44-F44</f>
        <v>68.571428571428584</v>
      </c>
      <c r="J44" s="1" t="s">
        <v>508</v>
      </c>
      <c r="K44" s="17"/>
    </row>
    <row r="45" spans="1:11" s="1" customFormat="1" x14ac:dyDescent="0.3">
      <c r="C45" s="1" t="s">
        <v>597</v>
      </c>
      <c r="D45" s="1" t="s">
        <v>1359</v>
      </c>
      <c r="E45" s="1" t="s">
        <v>1174</v>
      </c>
      <c r="F45" s="18">
        <v>119.34</v>
      </c>
      <c r="G45" s="27">
        <v>0.3</v>
      </c>
      <c r="H45" s="34">
        <f t="shared" si="16"/>
        <v>170.48571428571429</v>
      </c>
      <c r="I45" s="18">
        <f t="shared" si="17"/>
        <v>51.145714285714291</v>
      </c>
      <c r="J45" s="1" t="s">
        <v>585</v>
      </c>
      <c r="K45" s="17"/>
    </row>
    <row r="46" spans="1:11" x14ac:dyDescent="0.3">
      <c r="B46" t="s">
        <v>1371</v>
      </c>
      <c r="C46" t="s">
        <v>1372</v>
      </c>
    </row>
    <row r="47" spans="1:11" x14ac:dyDescent="0.3">
      <c r="A47">
        <v>1</v>
      </c>
      <c r="B47">
        <v>96540541</v>
      </c>
      <c r="D47" t="s">
        <v>711</v>
      </c>
      <c r="E47" s="3">
        <v>250</v>
      </c>
      <c r="F47" s="4">
        <v>0.3</v>
      </c>
      <c r="G47" s="6">
        <f t="shared" ref="G47" si="18">E47/(1-F47)</f>
        <v>357.14285714285717</v>
      </c>
      <c r="H47" s="3">
        <f t="shared" ref="H47" si="19">G47-E47</f>
        <v>107.14285714285717</v>
      </c>
      <c r="I47" t="s">
        <v>704</v>
      </c>
      <c r="J47" s="6"/>
    </row>
    <row r="48" spans="1:11" x14ac:dyDescent="0.3">
      <c r="A48" t="s">
        <v>1375</v>
      </c>
    </row>
    <row r="49" spans="1:10" x14ac:dyDescent="0.3">
      <c r="D49" t="s">
        <v>729</v>
      </c>
      <c r="E49" s="3">
        <v>310</v>
      </c>
      <c r="F49" s="4">
        <v>0.3</v>
      </c>
      <c r="G49" s="6">
        <f t="shared" ref="G49" si="20">E49/(1-F49)</f>
        <v>442.85714285714289</v>
      </c>
      <c r="H49" s="3">
        <f t="shared" ref="H49" si="21">G49-E49</f>
        <v>132.85714285714289</v>
      </c>
      <c r="I49" t="s">
        <v>704</v>
      </c>
      <c r="J49" s="6"/>
    </row>
    <row r="50" spans="1:10" x14ac:dyDescent="0.3">
      <c r="A50" t="s">
        <v>1376</v>
      </c>
    </row>
    <row r="51" spans="1:10" x14ac:dyDescent="0.3">
      <c r="A51" s="1"/>
      <c r="B51" s="1" t="s">
        <v>1177</v>
      </c>
      <c r="C51" s="1" t="s">
        <v>1174</v>
      </c>
      <c r="D51" s="1" t="s">
        <v>1178</v>
      </c>
      <c r="E51" s="1">
        <v>40</v>
      </c>
      <c r="F51" s="27">
        <v>0.3</v>
      </c>
      <c r="G51" s="20">
        <f t="shared" ref="G51" si="22">E51/(1-F51)</f>
        <v>57.142857142857146</v>
      </c>
      <c r="H51" s="1"/>
      <c r="I51" s="1"/>
      <c r="J51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A1CC-8F8C-4833-9A31-8F21442F6577}">
  <dimension ref="A1:J86"/>
  <sheetViews>
    <sheetView workbookViewId="0">
      <selection activeCell="A22" sqref="A22:XFD22"/>
    </sheetView>
  </sheetViews>
  <sheetFormatPr baseColWidth="10" defaultRowHeight="16.5" x14ac:dyDescent="0.3"/>
  <cols>
    <col min="4" max="4" width="57.75" customWidth="1"/>
  </cols>
  <sheetData>
    <row r="1" spans="1:10" x14ac:dyDescent="0.3">
      <c r="A1" t="s">
        <v>496</v>
      </c>
      <c r="B1" t="s">
        <v>498</v>
      </c>
      <c r="C1" t="s">
        <v>499</v>
      </c>
      <c r="D1" t="s">
        <v>500</v>
      </c>
      <c r="E1" t="s">
        <v>501</v>
      </c>
      <c r="F1" t="s">
        <v>639</v>
      </c>
      <c r="G1" s="2" t="s">
        <v>640</v>
      </c>
      <c r="H1" t="s">
        <v>504</v>
      </c>
      <c r="I1" t="s">
        <v>505</v>
      </c>
    </row>
    <row r="2" spans="1:10" x14ac:dyDescent="0.3">
      <c r="A2" s="41">
        <v>2</v>
      </c>
      <c r="C2" t="s">
        <v>754</v>
      </c>
      <c r="D2" t="s">
        <v>755</v>
      </c>
      <c r="E2" s="3">
        <v>47</v>
      </c>
      <c r="F2" s="8">
        <v>0.28000000000000003</v>
      </c>
      <c r="G2" s="9">
        <f>E2/(1-F2)</f>
        <v>65.277777777777786</v>
      </c>
      <c r="H2" s="10">
        <f>G2-E2</f>
        <v>18.277777777777786</v>
      </c>
      <c r="J2" s="47">
        <v>65</v>
      </c>
    </row>
    <row r="3" spans="1:10" x14ac:dyDescent="0.3">
      <c r="B3">
        <v>7</v>
      </c>
      <c r="C3" t="s">
        <v>756</v>
      </c>
      <c r="D3" t="s">
        <v>757</v>
      </c>
      <c r="E3" s="3">
        <v>46.897919999999999</v>
      </c>
      <c r="F3" s="8">
        <v>0.3</v>
      </c>
      <c r="G3" s="9">
        <f t="shared" ref="G3:G60" si="0">E3/(1-F3)</f>
        <v>66.997028571428572</v>
      </c>
      <c r="H3" s="10">
        <f t="shared" ref="H3:H60" si="1">G3-E3</f>
        <v>20.099108571428573</v>
      </c>
      <c r="J3">
        <v>65</v>
      </c>
    </row>
    <row r="4" spans="1:10" x14ac:dyDescent="0.3">
      <c r="B4">
        <v>3</v>
      </c>
      <c r="C4" t="s">
        <v>758</v>
      </c>
      <c r="D4" t="s">
        <v>759</v>
      </c>
      <c r="E4" s="3">
        <v>57</v>
      </c>
      <c r="F4" s="8">
        <v>0.3</v>
      </c>
      <c r="G4" s="9">
        <f t="shared" si="0"/>
        <v>81.428571428571431</v>
      </c>
      <c r="H4" s="10">
        <f t="shared" si="1"/>
        <v>24.428571428571431</v>
      </c>
    </row>
    <row r="5" spans="1:10" x14ac:dyDescent="0.3">
      <c r="C5" t="s">
        <v>760</v>
      </c>
      <c r="D5" t="s">
        <v>761</v>
      </c>
      <c r="E5" s="3">
        <v>63</v>
      </c>
      <c r="F5" s="8">
        <v>0.3</v>
      </c>
      <c r="G5" s="9">
        <f t="shared" si="0"/>
        <v>90</v>
      </c>
      <c r="H5" s="10">
        <f t="shared" si="1"/>
        <v>27</v>
      </c>
    </row>
    <row r="6" spans="1:10" x14ac:dyDescent="0.3">
      <c r="C6" t="s">
        <v>762</v>
      </c>
      <c r="D6" t="s">
        <v>763</v>
      </c>
      <c r="E6" s="3">
        <v>63.5</v>
      </c>
      <c r="F6" s="8">
        <v>0.3</v>
      </c>
      <c r="G6" s="9">
        <f t="shared" si="0"/>
        <v>90.714285714285722</v>
      </c>
      <c r="H6" s="10">
        <f t="shared" si="1"/>
        <v>27.214285714285722</v>
      </c>
    </row>
    <row r="7" spans="1:10" x14ac:dyDescent="0.3">
      <c r="C7" t="s">
        <v>764</v>
      </c>
      <c r="D7" t="s">
        <v>1025</v>
      </c>
      <c r="E7" s="3">
        <v>74.23</v>
      </c>
      <c r="F7" s="8">
        <v>0.2</v>
      </c>
      <c r="G7" s="9">
        <f t="shared" si="0"/>
        <v>92.787499999999994</v>
      </c>
      <c r="H7" s="10">
        <f t="shared" si="1"/>
        <v>18.55749999999999</v>
      </c>
      <c r="J7">
        <v>100</v>
      </c>
    </row>
    <row r="8" spans="1:10" x14ac:dyDescent="0.3">
      <c r="C8" t="s">
        <v>765</v>
      </c>
      <c r="D8" t="s">
        <v>766</v>
      </c>
      <c r="E8" s="3">
        <v>50.896000000000001</v>
      </c>
      <c r="F8" s="8">
        <v>0.3</v>
      </c>
      <c r="G8" s="9">
        <f t="shared" si="0"/>
        <v>72.708571428571432</v>
      </c>
      <c r="H8" s="10">
        <f t="shared" si="1"/>
        <v>21.812571428571431</v>
      </c>
    </row>
    <row r="9" spans="1:10" x14ac:dyDescent="0.3">
      <c r="C9" t="s">
        <v>767</v>
      </c>
      <c r="D9" t="s">
        <v>1026</v>
      </c>
      <c r="E9" s="3">
        <v>56.62</v>
      </c>
      <c r="F9" s="8">
        <v>0.3</v>
      </c>
      <c r="G9" s="9">
        <f t="shared" si="0"/>
        <v>80.885714285714286</v>
      </c>
      <c r="H9" s="10">
        <f t="shared" si="1"/>
        <v>24.265714285714289</v>
      </c>
      <c r="J9">
        <v>85</v>
      </c>
    </row>
    <row r="10" spans="1:10" x14ac:dyDescent="0.3">
      <c r="C10" t="s">
        <v>768</v>
      </c>
      <c r="D10" t="s">
        <v>769</v>
      </c>
      <c r="E10" s="3">
        <v>49.192</v>
      </c>
      <c r="F10" s="8">
        <v>0.3</v>
      </c>
      <c r="G10" s="9">
        <f t="shared" si="0"/>
        <v>70.274285714285725</v>
      </c>
      <c r="H10" s="10">
        <f t="shared" si="1"/>
        <v>21.082285714285725</v>
      </c>
    </row>
    <row r="11" spans="1:10" x14ac:dyDescent="0.3">
      <c r="A11" s="42">
        <v>4</v>
      </c>
      <c r="C11" t="s">
        <v>770</v>
      </c>
      <c r="D11" t="s">
        <v>771</v>
      </c>
      <c r="E11" s="3">
        <v>47.535119999999999</v>
      </c>
      <c r="F11" s="8">
        <v>0.3</v>
      </c>
      <c r="G11" s="9">
        <f t="shared" si="0"/>
        <v>67.907314285714293</v>
      </c>
      <c r="H11" s="10">
        <f t="shared" si="1"/>
        <v>20.372194285714293</v>
      </c>
    </row>
    <row r="12" spans="1:10" x14ac:dyDescent="0.3">
      <c r="C12" t="s">
        <v>772</v>
      </c>
      <c r="D12" t="s">
        <v>773</v>
      </c>
      <c r="E12" s="3">
        <v>62.912880000000001</v>
      </c>
      <c r="F12" s="8">
        <v>0.3</v>
      </c>
      <c r="G12" s="9">
        <f t="shared" si="0"/>
        <v>89.875542857142861</v>
      </c>
      <c r="H12" s="10">
        <f t="shared" si="1"/>
        <v>26.96266285714286</v>
      </c>
    </row>
    <row r="13" spans="1:10" x14ac:dyDescent="0.3">
      <c r="C13" t="s">
        <v>774</v>
      </c>
      <c r="D13" t="s">
        <v>775</v>
      </c>
      <c r="E13" s="3">
        <v>47.025359999999999</v>
      </c>
      <c r="F13" s="8">
        <v>0.3</v>
      </c>
      <c r="G13" s="9">
        <f t="shared" si="0"/>
        <v>67.179085714285719</v>
      </c>
      <c r="H13" s="10">
        <f t="shared" si="1"/>
        <v>20.15372571428572</v>
      </c>
    </row>
    <row r="14" spans="1:10" x14ac:dyDescent="0.3">
      <c r="C14" t="s">
        <v>776</v>
      </c>
      <c r="D14" t="s">
        <v>777</v>
      </c>
      <c r="E14" s="3">
        <v>68</v>
      </c>
      <c r="F14" s="8">
        <v>0.3</v>
      </c>
      <c r="G14" s="9">
        <f t="shared" si="0"/>
        <v>97.142857142857153</v>
      </c>
      <c r="H14" s="10">
        <f t="shared" si="1"/>
        <v>29.142857142857153</v>
      </c>
    </row>
    <row r="15" spans="1:10" x14ac:dyDescent="0.3">
      <c r="C15" t="s">
        <v>778</v>
      </c>
      <c r="D15" t="s">
        <v>779</v>
      </c>
      <c r="E15" s="3">
        <v>44.02</v>
      </c>
      <c r="F15" s="8">
        <v>0.3</v>
      </c>
      <c r="G15" s="9">
        <f t="shared" si="0"/>
        <v>62.885714285714293</v>
      </c>
      <c r="H15" s="10">
        <f t="shared" si="1"/>
        <v>18.86571428571429</v>
      </c>
    </row>
    <row r="16" spans="1:10" x14ac:dyDescent="0.3">
      <c r="A16">
        <v>2</v>
      </c>
      <c r="C16" t="s">
        <v>780</v>
      </c>
      <c r="D16" t="s">
        <v>781</v>
      </c>
      <c r="E16" s="3">
        <v>49</v>
      </c>
      <c r="F16" s="8">
        <v>0.3</v>
      </c>
      <c r="G16" s="9">
        <f t="shared" si="0"/>
        <v>70</v>
      </c>
      <c r="H16" s="10">
        <f t="shared" si="1"/>
        <v>21</v>
      </c>
    </row>
    <row r="17" spans="1:10" x14ac:dyDescent="0.3">
      <c r="A17" s="43"/>
      <c r="E17" s="3"/>
      <c r="F17" s="8">
        <v>0.3</v>
      </c>
      <c r="G17" s="9">
        <f t="shared" si="0"/>
        <v>0</v>
      </c>
      <c r="H17" s="10">
        <f t="shared" si="1"/>
        <v>0</v>
      </c>
    </row>
    <row r="18" spans="1:10" x14ac:dyDescent="0.3">
      <c r="C18" t="s">
        <v>782</v>
      </c>
      <c r="D18" t="s">
        <v>783</v>
      </c>
      <c r="E18" s="3">
        <v>42</v>
      </c>
      <c r="F18" s="8">
        <v>0.3</v>
      </c>
      <c r="G18" s="9">
        <f t="shared" si="0"/>
        <v>60.000000000000007</v>
      </c>
      <c r="H18" s="10">
        <f t="shared" si="1"/>
        <v>18.000000000000007</v>
      </c>
    </row>
    <row r="19" spans="1:10" x14ac:dyDescent="0.3">
      <c r="C19" t="s">
        <v>784</v>
      </c>
      <c r="D19" t="s">
        <v>785</v>
      </c>
      <c r="E19" s="3">
        <v>80</v>
      </c>
      <c r="F19" s="8">
        <v>0.3</v>
      </c>
      <c r="G19" s="9">
        <f t="shared" si="0"/>
        <v>114.28571428571429</v>
      </c>
      <c r="H19" s="10">
        <f t="shared" si="1"/>
        <v>34.285714285714292</v>
      </c>
    </row>
    <row r="20" spans="1:10" x14ac:dyDescent="0.3">
      <c r="C20" t="s">
        <v>786</v>
      </c>
      <c r="D20" t="s">
        <v>787</v>
      </c>
      <c r="E20" s="3">
        <v>42.564959999999999</v>
      </c>
      <c r="F20" s="8">
        <v>0.3</v>
      </c>
      <c r="G20" s="9">
        <f t="shared" si="0"/>
        <v>60.807085714285719</v>
      </c>
      <c r="H20" s="10">
        <f t="shared" si="1"/>
        <v>18.24212571428572</v>
      </c>
    </row>
    <row r="21" spans="1:10" x14ac:dyDescent="0.3">
      <c r="C21" t="s">
        <v>788</v>
      </c>
      <c r="D21" t="s">
        <v>789</v>
      </c>
      <c r="E21" s="3">
        <v>89</v>
      </c>
      <c r="F21" s="8">
        <v>0.3</v>
      </c>
      <c r="G21" s="9">
        <f t="shared" si="0"/>
        <v>127.14285714285715</v>
      </c>
      <c r="H21" s="10">
        <f t="shared" si="1"/>
        <v>38.142857142857153</v>
      </c>
    </row>
    <row r="22" spans="1:10" x14ac:dyDescent="0.3">
      <c r="C22" t="s">
        <v>790</v>
      </c>
      <c r="D22" t="s">
        <v>791</v>
      </c>
      <c r="E22" s="3">
        <v>65.334239999999994</v>
      </c>
      <c r="F22" s="8">
        <v>0.3</v>
      </c>
      <c r="G22" s="9">
        <f t="shared" si="0"/>
        <v>93.334628571428567</v>
      </c>
      <c r="H22" s="10">
        <f t="shared" si="1"/>
        <v>28.000388571428573</v>
      </c>
    </row>
    <row r="23" spans="1:10" x14ac:dyDescent="0.3">
      <c r="C23" t="s">
        <v>792</v>
      </c>
      <c r="D23" t="s">
        <v>793</v>
      </c>
      <c r="E23" s="3">
        <v>43.85</v>
      </c>
      <c r="F23" s="8">
        <v>0.3</v>
      </c>
      <c r="G23" s="9">
        <f t="shared" si="0"/>
        <v>62.642857142857146</v>
      </c>
      <c r="H23" s="10">
        <f t="shared" si="1"/>
        <v>18.792857142857144</v>
      </c>
      <c r="J23" s="2">
        <v>65</v>
      </c>
    </row>
    <row r="24" spans="1:10" x14ac:dyDescent="0.3">
      <c r="C24" t="s">
        <v>794</v>
      </c>
      <c r="D24" t="s">
        <v>795</v>
      </c>
      <c r="E24" s="3">
        <v>54.46</v>
      </c>
      <c r="F24" s="8">
        <v>0.3</v>
      </c>
      <c r="G24" s="9">
        <f t="shared" si="0"/>
        <v>77.800000000000011</v>
      </c>
      <c r="H24" s="10">
        <f t="shared" si="1"/>
        <v>23.340000000000011</v>
      </c>
    </row>
    <row r="25" spans="1:10" x14ac:dyDescent="0.3">
      <c r="C25" t="s">
        <v>796</v>
      </c>
      <c r="D25" t="s">
        <v>797</v>
      </c>
      <c r="E25" s="3">
        <v>61</v>
      </c>
      <c r="F25" s="8">
        <v>0.3</v>
      </c>
      <c r="G25" s="9">
        <f t="shared" si="0"/>
        <v>87.142857142857153</v>
      </c>
      <c r="H25" s="10">
        <f t="shared" si="1"/>
        <v>26.142857142857153</v>
      </c>
    </row>
    <row r="26" spans="1:10" x14ac:dyDescent="0.3">
      <c r="C26" t="s">
        <v>798</v>
      </c>
      <c r="D26" t="s">
        <v>799</v>
      </c>
      <c r="E26" s="3">
        <v>70</v>
      </c>
      <c r="F26" s="8">
        <v>0.3</v>
      </c>
      <c r="G26" s="9">
        <f t="shared" si="0"/>
        <v>100</v>
      </c>
      <c r="H26" s="10">
        <f t="shared" si="1"/>
        <v>30</v>
      </c>
    </row>
    <row r="27" spans="1:10" x14ac:dyDescent="0.3">
      <c r="C27" t="s">
        <v>800</v>
      </c>
      <c r="D27" t="s">
        <v>801</v>
      </c>
      <c r="E27" s="3">
        <v>70</v>
      </c>
      <c r="F27" s="8">
        <v>0.3</v>
      </c>
      <c r="G27" s="9">
        <f t="shared" si="0"/>
        <v>100</v>
      </c>
      <c r="H27" s="10">
        <f t="shared" si="1"/>
        <v>30</v>
      </c>
    </row>
    <row r="28" spans="1:10" x14ac:dyDescent="0.3">
      <c r="C28" t="s">
        <v>802</v>
      </c>
      <c r="D28" t="s">
        <v>803</v>
      </c>
      <c r="E28" s="3">
        <v>65</v>
      </c>
      <c r="F28" s="8">
        <v>0.2</v>
      </c>
      <c r="G28" s="9">
        <f t="shared" si="0"/>
        <v>81.25</v>
      </c>
      <c r="H28" s="10">
        <f t="shared" si="1"/>
        <v>16.25</v>
      </c>
    </row>
    <row r="29" spans="1:10" x14ac:dyDescent="0.3">
      <c r="C29" t="s">
        <v>804</v>
      </c>
      <c r="D29" t="s">
        <v>805</v>
      </c>
      <c r="E29" s="3">
        <v>65.206800000000001</v>
      </c>
      <c r="F29" s="8">
        <v>0.2</v>
      </c>
      <c r="G29" s="9">
        <f t="shared" si="0"/>
        <v>81.508499999999998</v>
      </c>
      <c r="H29" s="10">
        <f t="shared" si="1"/>
        <v>16.301699999999997</v>
      </c>
    </row>
    <row r="30" spans="1:10" x14ac:dyDescent="0.3">
      <c r="C30" t="s">
        <v>806</v>
      </c>
      <c r="D30" t="s">
        <v>807</v>
      </c>
      <c r="E30" s="3">
        <v>55.747999999999998</v>
      </c>
      <c r="F30" s="8">
        <v>0.3</v>
      </c>
      <c r="G30" s="9">
        <f t="shared" si="0"/>
        <v>79.64</v>
      </c>
      <c r="H30" s="10">
        <f t="shared" si="1"/>
        <v>23.892000000000003</v>
      </c>
    </row>
    <row r="31" spans="1:10" x14ac:dyDescent="0.3">
      <c r="C31" t="s">
        <v>808</v>
      </c>
      <c r="D31" t="s">
        <v>809</v>
      </c>
      <c r="E31" s="3">
        <v>55.747999999999998</v>
      </c>
      <c r="F31" s="8">
        <v>0.3</v>
      </c>
      <c r="G31" s="9">
        <f t="shared" si="0"/>
        <v>79.64</v>
      </c>
      <c r="H31" s="10">
        <f t="shared" si="1"/>
        <v>23.892000000000003</v>
      </c>
    </row>
    <row r="32" spans="1:10" x14ac:dyDescent="0.3">
      <c r="C32" t="s">
        <v>810</v>
      </c>
      <c r="D32" t="s">
        <v>811</v>
      </c>
      <c r="E32" s="3">
        <v>71.69</v>
      </c>
      <c r="F32" s="8">
        <v>0.3</v>
      </c>
      <c r="G32" s="9">
        <f t="shared" si="0"/>
        <v>102.41428571428571</v>
      </c>
      <c r="H32" s="10">
        <f t="shared" si="1"/>
        <v>30.724285714285713</v>
      </c>
    </row>
    <row r="33" spans="3:10" x14ac:dyDescent="0.3">
      <c r="C33" t="s">
        <v>1240</v>
      </c>
      <c r="D33" s="29" t="s">
        <v>813</v>
      </c>
      <c r="E33" s="3">
        <v>180</v>
      </c>
      <c r="F33" s="8">
        <v>0.3</v>
      </c>
      <c r="G33" s="9">
        <f t="shared" si="0"/>
        <v>257.14285714285717</v>
      </c>
      <c r="H33" s="10">
        <f t="shared" si="1"/>
        <v>77.142857142857167</v>
      </c>
      <c r="I33" s="31" t="s">
        <v>1233</v>
      </c>
    </row>
    <row r="34" spans="3:10" x14ac:dyDescent="0.3">
      <c r="C34" t="s">
        <v>812</v>
      </c>
      <c r="D34" t="s">
        <v>813</v>
      </c>
      <c r="E34" s="3">
        <v>184.4</v>
      </c>
      <c r="F34" s="8">
        <v>0.3</v>
      </c>
      <c r="G34" s="9">
        <f t="shared" si="0"/>
        <v>263.42857142857144</v>
      </c>
      <c r="H34" s="10">
        <f t="shared" si="1"/>
        <v>79.028571428571439</v>
      </c>
      <c r="I34" s="31" t="s">
        <v>1233</v>
      </c>
      <c r="J34" s="2" t="s">
        <v>1234</v>
      </c>
    </row>
    <row r="35" spans="3:10" x14ac:dyDescent="0.3">
      <c r="C35" t="s">
        <v>814</v>
      </c>
      <c r="D35" t="s">
        <v>815</v>
      </c>
      <c r="E35" s="3">
        <v>55.24</v>
      </c>
      <c r="F35" s="8">
        <v>0.3</v>
      </c>
      <c r="G35" s="9">
        <f t="shared" si="0"/>
        <v>78.914285714285725</v>
      </c>
      <c r="H35" s="10">
        <f t="shared" si="1"/>
        <v>23.674285714285723</v>
      </c>
      <c r="J35" s="23">
        <v>80</v>
      </c>
    </row>
    <row r="36" spans="3:10" x14ac:dyDescent="0.3">
      <c r="C36" t="s">
        <v>816</v>
      </c>
      <c r="D36" t="s">
        <v>817</v>
      </c>
      <c r="E36" s="3">
        <v>40.988</v>
      </c>
      <c r="F36" s="8">
        <v>0.3</v>
      </c>
      <c r="G36" s="9">
        <f t="shared" si="0"/>
        <v>58.554285714285719</v>
      </c>
      <c r="H36" s="10">
        <f t="shared" si="1"/>
        <v>17.566285714285719</v>
      </c>
    </row>
    <row r="37" spans="3:10" x14ac:dyDescent="0.3">
      <c r="C37" t="s">
        <v>818</v>
      </c>
      <c r="D37" t="s">
        <v>819</v>
      </c>
      <c r="E37" s="3">
        <v>63.509</v>
      </c>
      <c r="F37" s="8">
        <v>0.3</v>
      </c>
      <c r="G37" s="9">
        <f t="shared" si="0"/>
        <v>90.727142857142866</v>
      </c>
      <c r="H37" s="10">
        <f t="shared" si="1"/>
        <v>27.218142857142865</v>
      </c>
    </row>
    <row r="38" spans="3:10" x14ac:dyDescent="0.3">
      <c r="C38" t="s">
        <v>820</v>
      </c>
      <c r="D38" t="s">
        <v>821</v>
      </c>
      <c r="E38" s="3">
        <v>57.6</v>
      </c>
      <c r="F38" s="8">
        <v>0.2</v>
      </c>
      <c r="G38" s="9">
        <f t="shared" si="0"/>
        <v>72</v>
      </c>
      <c r="H38" s="10">
        <f t="shared" si="1"/>
        <v>14.399999999999999</v>
      </c>
    </row>
    <row r="39" spans="3:10" x14ac:dyDescent="0.3">
      <c r="C39" t="s">
        <v>822</v>
      </c>
      <c r="D39" t="s">
        <v>823</v>
      </c>
      <c r="E39" s="3">
        <v>81</v>
      </c>
      <c r="F39" s="8">
        <v>0.3</v>
      </c>
      <c r="G39" s="9">
        <f t="shared" si="0"/>
        <v>115.71428571428572</v>
      </c>
      <c r="H39" s="10">
        <f t="shared" si="1"/>
        <v>34.714285714285722</v>
      </c>
      <c r="J39" s="2">
        <v>110</v>
      </c>
    </row>
    <row r="40" spans="3:10" x14ac:dyDescent="0.3">
      <c r="C40" t="s">
        <v>788</v>
      </c>
      <c r="D40" t="s">
        <v>789</v>
      </c>
      <c r="E40" s="3">
        <v>89</v>
      </c>
      <c r="F40" s="8">
        <v>0.3</v>
      </c>
      <c r="G40" s="9">
        <f t="shared" si="0"/>
        <v>127.14285714285715</v>
      </c>
      <c r="H40" s="10">
        <f t="shared" si="1"/>
        <v>38.142857142857153</v>
      </c>
    </row>
    <row r="41" spans="3:10" x14ac:dyDescent="0.3">
      <c r="C41" t="s">
        <v>824</v>
      </c>
      <c r="D41" t="s">
        <v>825</v>
      </c>
      <c r="E41" s="3">
        <v>68</v>
      </c>
      <c r="F41" s="8">
        <v>0.3</v>
      </c>
      <c r="G41" s="9">
        <f t="shared" si="0"/>
        <v>97.142857142857153</v>
      </c>
      <c r="H41" s="10">
        <f t="shared" si="1"/>
        <v>29.142857142857153</v>
      </c>
    </row>
    <row r="42" spans="3:10" x14ac:dyDescent="0.3">
      <c r="C42" t="s">
        <v>826</v>
      </c>
      <c r="D42" t="s">
        <v>827</v>
      </c>
      <c r="E42" s="3">
        <v>54.863999999999997</v>
      </c>
      <c r="F42" s="8">
        <v>0.3</v>
      </c>
      <c r="G42" s="9">
        <f t="shared" si="0"/>
        <v>78.377142857142857</v>
      </c>
      <c r="H42" s="10">
        <f t="shared" si="1"/>
        <v>23.51314285714286</v>
      </c>
    </row>
    <row r="43" spans="3:10" x14ac:dyDescent="0.3">
      <c r="C43" t="s">
        <v>828</v>
      </c>
      <c r="D43" t="s">
        <v>829</v>
      </c>
      <c r="E43" s="3">
        <v>276.62400000000002</v>
      </c>
      <c r="F43" s="8">
        <v>0.3</v>
      </c>
      <c r="G43" s="9">
        <f t="shared" si="0"/>
        <v>395.17714285714294</v>
      </c>
      <c r="H43" s="10">
        <f t="shared" si="1"/>
        <v>118.55314285714292</v>
      </c>
    </row>
    <row r="44" spans="3:10" x14ac:dyDescent="0.3">
      <c r="C44" t="s">
        <v>830</v>
      </c>
      <c r="D44" t="s">
        <v>831</v>
      </c>
      <c r="E44" s="3">
        <v>296.64</v>
      </c>
      <c r="F44" s="8">
        <v>0.3</v>
      </c>
      <c r="G44" s="9">
        <f t="shared" si="0"/>
        <v>423.7714285714286</v>
      </c>
      <c r="H44" s="10">
        <f t="shared" si="1"/>
        <v>127.13142857142861</v>
      </c>
    </row>
    <row r="45" spans="3:10" x14ac:dyDescent="0.3">
      <c r="C45" t="s">
        <v>832</v>
      </c>
      <c r="D45" t="s">
        <v>833</v>
      </c>
      <c r="E45" s="3">
        <v>285.55200000000002</v>
      </c>
      <c r="F45" s="8">
        <v>0.2</v>
      </c>
      <c r="G45" s="9">
        <f t="shared" si="0"/>
        <v>356.94</v>
      </c>
      <c r="H45" s="10">
        <f t="shared" si="1"/>
        <v>71.387999999999977</v>
      </c>
    </row>
    <row r="46" spans="3:10" x14ac:dyDescent="0.3">
      <c r="C46" t="s">
        <v>834</v>
      </c>
      <c r="D46" t="s">
        <v>835</v>
      </c>
      <c r="E46" s="3">
        <v>47.124000000000002</v>
      </c>
      <c r="F46" s="8">
        <v>0.3</v>
      </c>
      <c r="G46" s="9">
        <f t="shared" si="0"/>
        <v>67.320000000000007</v>
      </c>
      <c r="H46" s="10">
        <f t="shared" si="1"/>
        <v>20.196000000000005</v>
      </c>
    </row>
    <row r="47" spans="3:10" x14ac:dyDescent="0.3">
      <c r="C47" t="s">
        <v>776</v>
      </c>
      <c r="D47" t="s">
        <v>777</v>
      </c>
      <c r="E47" s="3">
        <v>60</v>
      </c>
      <c r="F47" s="8">
        <v>0.3</v>
      </c>
      <c r="G47" s="9">
        <f t="shared" si="0"/>
        <v>85.714285714285722</v>
      </c>
      <c r="H47" s="10">
        <f t="shared" si="1"/>
        <v>25.714285714285722</v>
      </c>
    </row>
    <row r="48" spans="3:10" x14ac:dyDescent="0.3">
      <c r="C48" t="s">
        <v>841</v>
      </c>
      <c r="D48" t="s">
        <v>842</v>
      </c>
      <c r="E48" s="3">
        <v>25</v>
      </c>
      <c r="F48" s="8">
        <v>0.3</v>
      </c>
      <c r="G48" s="9">
        <f t="shared" si="0"/>
        <v>35.714285714285715</v>
      </c>
      <c r="H48">
        <f t="shared" si="1"/>
        <v>10.714285714285715</v>
      </c>
    </row>
    <row r="49" spans="1:10" x14ac:dyDescent="0.3">
      <c r="A49" s="42">
        <v>2</v>
      </c>
      <c r="C49" t="s">
        <v>1441</v>
      </c>
      <c r="E49" s="3">
        <v>53</v>
      </c>
      <c r="F49" s="8">
        <v>0.3</v>
      </c>
      <c r="G49" s="9">
        <f t="shared" si="0"/>
        <v>75.714285714285722</v>
      </c>
      <c r="H49">
        <f t="shared" si="1"/>
        <v>22.714285714285722</v>
      </c>
    </row>
    <row r="50" spans="1:10" x14ac:dyDescent="0.3">
      <c r="C50" t="s">
        <v>843</v>
      </c>
      <c r="D50" t="s">
        <v>1029</v>
      </c>
      <c r="E50" s="3">
        <v>136.27583999999999</v>
      </c>
      <c r="F50" s="8">
        <v>0.3</v>
      </c>
      <c r="G50" s="9">
        <f t="shared" si="0"/>
        <v>194.67977142857143</v>
      </c>
      <c r="H50">
        <f t="shared" si="1"/>
        <v>58.40393142857144</v>
      </c>
    </row>
    <row r="51" spans="1:10" x14ac:dyDescent="0.3">
      <c r="C51" t="s">
        <v>844</v>
      </c>
      <c r="D51" t="s">
        <v>1030</v>
      </c>
      <c r="E51" s="3">
        <v>136.65816000000001</v>
      </c>
      <c r="F51" s="8">
        <v>0.3</v>
      </c>
      <c r="G51" s="9">
        <f t="shared" si="0"/>
        <v>195.22594285714288</v>
      </c>
      <c r="H51" s="10">
        <f t="shared" si="1"/>
        <v>58.567782857142873</v>
      </c>
      <c r="I51">
        <v>165</v>
      </c>
    </row>
    <row r="52" spans="1:10" x14ac:dyDescent="0.3">
      <c r="C52" t="s">
        <v>845</v>
      </c>
      <c r="D52" t="s">
        <v>1031</v>
      </c>
      <c r="E52" s="3">
        <v>137</v>
      </c>
      <c r="F52" s="8">
        <v>0.3</v>
      </c>
      <c r="G52" s="9">
        <f t="shared" si="0"/>
        <v>195.71428571428572</v>
      </c>
      <c r="H52" s="10">
        <f t="shared" si="1"/>
        <v>58.714285714285722</v>
      </c>
      <c r="I52" s="2">
        <v>150</v>
      </c>
      <c r="J52" t="s">
        <v>1439</v>
      </c>
    </row>
    <row r="53" spans="1:10" x14ac:dyDescent="0.3">
      <c r="C53" t="s">
        <v>846</v>
      </c>
      <c r="D53" t="s">
        <v>847</v>
      </c>
      <c r="E53" s="3">
        <v>50</v>
      </c>
      <c r="F53" s="8">
        <v>0.3</v>
      </c>
      <c r="G53" s="9">
        <f t="shared" si="0"/>
        <v>71.428571428571431</v>
      </c>
      <c r="H53" s="10">
        <f t="shared" si="1"/>
        <v>21.428571428571431</v>
      </c>
    </row>
    <row r="54" spans="1:10" x14ac:dyDescent="0.3">
      <c r="C54" t="s">
        <v>1115</v>
      </c>
      <c r="D54" t="s">
        <v>1123</v>
      </c>
      <c r="E54">
        <v>171.87407999999999</v>
      </c>
      <c r="F54" s="8">
        <v>0.3</v>
      </c>
      <c r="G54" s="9">
        <f t="shared" si="0"/>
        <v>245.53440000000001</v>
      </c>
      <c r="H54" s="10">
        <f t="shared" si="1"/>
        <v>73.660320000000013</v>
      </c>
    </row>
    <row r="55" spans="1:10" x14ac:dyDescent="0.3">
      <c r="C55" t="s">
        <v>1116</v>
      </c>
      <c r="D55" t="s">
        <v>1124</v>
      </c>
      <c r="E55" s="3">
        <v>64.900000000000006</v>
      </c>
      <c r="F55" s="8">
        <v>0.3</v>
      </c>
      <c r="G55" s="9">
        <f t="shared" si="0"/>
        <v>92.714285714285722</v>
      </c>
      <c r="H55" s="10">
        <f t="shared" si="1"/>
        <v>27.814285714285717</v>
      </c>
      <c r="I55">
        <v>95</v>
      </c>
    </row>
    <row r="56" spans="1:10" x14ac:dyDescent="0.3">
      <c r="C56" t="s">
        <v>1117</v>
      </c>
      <c r="D56" t="s">
        <v>1125</v>
      </c>
      <c r="E56" s="3">
        <v>88.12</v>
      </c>
      <c r="F56" s="8">
        <v>0.3</v>
      </c>
      <c r="G56" s="9">
        <f t="shared" si="0"/>
        <v>125.8857142857143</v>
      </c>
      <c r="H56" s="10">
        <f t="shared" si="1"/>
        <v>37.765714285714296</v>
      </c>
    </row>
    <row r="57" spans="1:10" x14ac:dyDescent="0.3">
      <c r="C57" t="s">
        <v>1118</v>
      </c>
      <c r="D57" t="s">
        <v>1126</v>
      </c>
      <c r="E57" s="3">
        <v>69.75</v>
      </c>
      <c r="F57" s="8">
        <v>0.3</v>
      </c>
      <c r="G57" s="9">
        <f t="shared" si="0"/>
        <v>99.642857142857153</v>
      </c>
      <c r="H57" s="10">
        <f t="shared" si="1"/>
        <v>29.892857142857153</v>
      </c>
    </row>
    <row r="58" spans="1:10" x14ac:dyDescent="0.3">
      <c r="C58" t="s">
        <v>1119</v>
      </c>
      <c r="D58" t="s">
        <v>1127</v>
      </c>
      <c r="E58" s="3">
        <v>99.91</v>
      </c>
      <c r="F58" s="8">
        <v>0.3</v>
      </c>
      <c r="G58" s="9">
        <f t="shared" si="0"/>
        <v>142.72857142857143</v>
      </c>
      <c r="H58" s="10">
        <f t="shared" si="1"/>
        <v>42.818571428571431</v>
      </c>
    </row>
    <row r="59" spans="1:10" x14ac:dyDescent="0.3">
      <c r="C59" t="s">
        <v>1121</v>
      </c>
      <c r="D59" t="s">
        <v>1128</v>
      </c>
      <c r="E59" s="3">
        <v>60.17</v>
      </c>
      <c r="F59" s="8">
        <v>0.3</v>
      </c>
      <c r="G59" s="9">
        <f t="shared" si="0"/>
        <v>85.95714285714287</v>
      </c>
      <c r="H59" s="10">
        <f t="shared" si="1"/>
        <v>25.787142857142868</v>
      </c>
    </row>
    <row r="60" spans="1:10" x14ac:dyDescent="0.3">
      <c r="C60" t="s">
        <v>1120</v>
      </c>
      <c r="D60" t="s">
        <v>1129</v>
      </c>
      <c r="E60" s="3">
        <v>58.55</v>
      </c>
      <c r="F60" s="8">
        <v>0.3</v>
      </c>
      <c r="G60" s="9">
        <f t="shared" si="0"/>
        <v>83.642857142857139</v>
      </c>
      <c r="H60" s="10">
        <f t="shared" si="1"/>
        <v>25.092857142857142</v>
      </c>
    </row>
    <row r="61" spans="1:10" x14ac:dyDescent="0.3">
      <c r="C61" t="s">
        <v>1122</v>
      </c>
      <c r="D61" t="s">
        <v>1130</v>
      </c>
      <c r="E61" s="3">
        <v>163.69</v>
      </c>
      <c r="F61" s="8">
        <v>0.3</v>
      </c>
      <c r="G61" s="9">
        <f>E61/(1-F61)</f>
        <v>233.84285714285716</v>
      </c>
      <c r="H61" s="10">
        <f>G61-E61</f>
        <v>70.152857142857158</v>
      </c>
    </row>
    <row r="62" spans="1:10" x14ac:dyDescent="0.3">
      <c r="C62" t="s">
        <v>1184</v>
      </c>
      <c r="D62" t="s">
        <v>1185</v>
      </c>
      <c r="E62" s="3">
        <v>43.2</v>
      </c>
      <c r="F62" s="8">
        <v>0.3</v>
      </c>
      <c r="G62" s="9">
        <f>E62/(1-F62)</f>
        <v>61.714285714285722</v>
      </c>
      <c r="H62" s="10">
        <f>G62-E62</f>
        <v>18.51428571428572</v>
      </c>
    </row>
    <row r="63" spans="1:10" x14ac:dyDescent="0.3">
      <c r="C63" t="s">
        <v>1186</v>
      </c>
      <c r="D63" s="29" t="s">
        <v>1187</v>
      </c>
      <c r="E63" s="3">
        <v>45.81</v>
      </c>
      <c r="F63" s="8">
        <v>0.3</v>
      </c>
      <c r="G63" s="9">
        <f t="shared" ref="G63:G83" si="2">E63/(1-F63)</f>
        <v>65.44285714285715</v>
      </c>
      <c r="H63" s="10">
        <f t="shared" ref="H63:H83" si="3">G63-E63</f>
        <v>19.632857142857148</v>
      </c>
    </row>
    <row r="64" spans="1:10" x14ac:dyDescent="0.3">
      <c r="C64" t="s">
        <v>1188</v>
      </c>
      <c r="D64" s="29" t="s">
        <v>1189</v>
      </c>
      <c r="E64" s="3">
        <v>96.4</v>
      </c>
      <c r="F64" s="8">
        <v>0.3</v>
      </c>
      <c r="G64" s="9">
        <f t="shared" si="2"/>
        <v>137.71428571428572</v>
      </c>
      <c r="H64" s="10">
        <f t="shared" si="3"/>
        <v>41.314285714285717</v>
      </c>
    </row>
    <row r="65" spans="2:9" x14ac:dyDescent="0.3">
      <c r="C65" t="s">
        <v>1191</v>
      </c>
      <c r="D65" s="30" t="s">
        <v>1190</v>
      </c>
      <c r="E65" s="3">
        <v>94.4</v>
      </c>
      <c r="F65" s="8">
        <v>0.3</v>
      </c>
      <c r="G65" s="9">
        <f t="shared" si="2"/>
        <v>134.85714285714286</v>
      </c>
      <c r="H65" s="10">
        <f t="shared" si="3"/>
        <v>40.457142857142856</v>
      </c>
    </row>
    <row r="66" spans="2:9" x14ac:dyDescent="0.3">
      <c r="C66" t="s">
        <v>1231</v>
      </c>
      <c r="D66" s="30" t="s">
        <v>1232</v>
      </c>
      <c r="E66" s="3">
        <v>170</v>
      </c>
      <c r="F66" s="8">
        <v>0.3</v>
      </c>
      <c r="G66" s="9">
        <f t="shared" si="2"/>
        <v>242.85714285714286</v>
      </c>
      <c r="H66" s="10">
        <f>G66-E66</f>
        <v>72.857142857142861</v>
      </c>
      <c r="I66" s="31" t="s">
        <v>1233</v>
      </c>
    </row>
    <row r="67" spans="2:9" x14ac:dyDescent="0.3">
      <c r="C67" t="s">
        <v>1370</v>
      </c>
      <c r="D67" s="30" t="s">
        <v>1422</v>
      </c>
      <c r="E67" s="3">
        <v>72</v>
      </c>
      <c r="F67" s="8">
        <v>0.3</v>
      </c>
      <c r="G67" s="9">
        <f t="shared" si="2"/>
        <v>102.85714285714286</v>
      </c>
      <c r="H67" s="10">
        <f>G67-E67</f>
        <v>30.857142857142861</v>
      </c>
      <c r="I67" s="31"/>
    </row>
    <row r="68" spans="2:9" x14ac:dyDescent="0.3">
      <c r="C68" t="s">
        <v>1416</v>
      </c>
      <c r="D68" s="38" t="s">
        <v>1417</v>
      </c>
      <c r="E68" s="3"/>
      <c r="F68" s="8"/>
      <c r="G68" s="9"/>
      <c r="H68" s="10"/>
      <c r="I68" s="31"/>
    </row>
    <row r="69" spans="2:9" x14ac:dyDescent="0.3">
      <c r="C69" t="s">
        <v>1288</v>
      </c>
      <c r="D69" t="s">
        <v>1289</v>
      </c>
      <c r="E69" s="3">
        <v>67.459999999999994</v>
      </c>
      <c r="F69" s="8">
        <v>0.3</v>
      </c>
      <c r="G69" s="9">
        <f t="shared" si="2"/>
        <v>96.371428571428567</v>
      </c>
      <c r="H69" s="10">
        <f t="shared" si="3"/>
        <v>28.911428571428573</v>
      </c>
    </row>
    <row r="70" spans="2:9" x14ac:dyDescent="0.3">
      <c r="D70" t="s">
        <v>1305</v>
      </c>
      <c r="E70" s="3">
        <v>70</v>
      </c>
      <c r="F70" s="8">
        <v>0.3</v>
      </c>
      <c r="G70" s="9">
        <f t="shared" si="2"/>
        <v>100</v>
      </c>
      <c r="H70" s="10">
        <f t="shared" si="3"/>
        <v>30</v>
      </c>
      <c r="I70" t="s">
        <v>1233</v>
      </c>
    </row>
    <row r="71" spans="2:9" x14ac:dyDescent="0.3">
      <c r="D71" t="s">
        <v>1306</v>
      </c>
      <c r="E71" s="3">
        <v>75</v>
      </c>
      <c r="F71" s="8">
        <v>0.3</v>
      </c>
      <c r="G71" s="9">
        <f t="shared" si="2"/>
        <v>107.14285714285715</v>
      </c>
      <c r="H71" s="10">
        <f t="shared" si="3"/>
        <v>32.142857142857153</v>
      </c>
      <c r="I71" t="s">
        <v>1233</v>
      </c>
    </row>
    <row r="72" spans="2:9" x14ac:dyDescent="0.3">
      <c r="D72" t="s">
        <v>1086</v>
      </c>
      <c r="E72" s="3">
        <v>60</v>
      </c>
      <c r="F72" s="8">
        <v>0.3</v>
      </c>
      <c r="G72" s="9">
        <f t="shared" si="2"/>
        <v>85.714285714285722</v>
      </c>
      <c r="H72" s="10">
        <f t="shared" si="3"/>
        <v>25.714285714285722</v>
      </c>
      <c r="I72" t="s">
        <v>1233</v>
      </c>
    </row>
    <row r="73" spans="2:9" x14ac:dyDescent="0.3">
      <c r="B73" t="s">
        <v>836</v>
      </c>
      <c r="D73" t="s">
        <v>1027</v>
      </c>
      <c r="E73" s="3">
        <v>50</v>
      </c>
      <c r="F73" s="8">
        <v>0.3</v>
      </c>
      <c r="G73" s="9">
        <f t="shared" si="2"/>
        <v>71.428571428571431</v>
      </c>
      <c r="H73" s="10">
        <f t="shared" si="3"/>
        <v>21.428571428571431</v>
      </c>
      <c r="I73" t="s">
        <v>1233</v>
      </c>
    </row>
    <row r="74" spans="2:9" x14ac:dyDescent="0.3">
      <c r="D74" t="s">
        <v>1028</v>
      </c>
      <c r="E74" s="6">
        <v>70</v>
      </c>
      <c r="F74" s="8">
        <v>0.3</v>
      </c>
      <c r="G74" s="9">
        <f t="shared" si="2"/>
        <v>100</v>
      </c>
      <c r="H74" s="10">
        <f t="shared" si="3"/>
        <v>30</v>
      </c>
      <c r="I74" t="s">
        <v>1233</v>
      </c>
    </row>
    <row r="75" spans="2:9" x14ac:dyDescent="0.3">
      <c r="C75" t="s">
        <v>837</v>
      </c>
      <c r="D75" t="s">
        <v>838</v>
      </c>
      <c r="E75" s="3">
        <v>70</v>
      </c>
      <c r="F75" s="8">
        <v>0.3</v>
      </c>
      <c r="G75" s="9">
        <f t="shared" si="2"/>
        <v>100</v>
      </c>
      <c r="H75" s="10">
        <f t="shared" si="3"/>
        <v>30</v>
      </c>
      <c r="I75" t="s">
        <v>1233</v>
      </c>
    </row>
    <row r="76" spans="2:9" x14ac:dyDescent="0.3">
      <c r="C76" t="s">
        <v>839</v>
      </c>
      <c r="D76" t="s">
        <v>840</v>
      </c>
      <c r="E76" s="3">
        <v>70</v>
      </c>
      <c r="F76" s="8">
        <v>0.3</v>
      </c>
      <c r="G76" s="9">
        <f t="shared" si="2"/>
        <v>100</v>
      </c>
      <c r="H76" s="10">
        <f t="shared" si="3"/>
        <v>30</v>
      </c>
      <c r="I76" t="s">
        <v>1233</v>
      </c>
    </row>
    <row r="77" spans="2:9" x14ac:dyDescent="0.3">
      <c r="D77" t="s">
        <v>1307</v>
      </c>
      <c r="E77" s="3">
        <v>70</v>
      </c>
      <c r="F77" s="8">
        <v>0.3</v>
      </c>
      <c r="G77" s="9">
        <f t="shared" si="2"/>
        <v>100</v>
      </c>
      <c r="H77" s="10">
        <f t="shared" si="3"/>
        <v>30</v>
      </c>
      <c r="I77" t="s">
        <v>1233</v>
      </c>
    </row>
    <row r="78" spans="2:9" x14ac:dyDescent="0.3">
      <c r="D78" t="s">
        <v>1308</v>
      </c>
      <c r="E78" s="3">
        <v>45</v>
      </c>
      <c r="F78" s="8">
        <v>0.3</v>
      </c>
      <c r="G78" s="9">
        <f t="shared" si="2"/>
        <v>64.285714285714292</v>
      </c>
      <c r="H78" s="10">
        <f t="shared" si="3"/>
        <v>19.285714285714292</v>
      </c>
      <c r="I78" t="s">
        <v>1233</v>
      </c>
    </row>
    <row r="79" spans="2:9" x14ac:dyDescent="0.3">
      <c r="D79" t="s">
        <v>1309</v>
      </c>
      <c r="E79" s="3">
        <v>48</v>
      </c>
      <c r="F79" s="8">
        <v>0.3</v>
      </c>
      <c r="G79" s="9">
        <f t="shared" si="2"/>
        <v>68.571428571428569</v>
      </c>
      <c r="H79" s="10">
        <f t="shared" si="3"/>
        <v>20.571428571428569</v>
      </c>
    </row>
    <row r="80" spans="2:9" x14ac:dyDescent="0.3">
      <c r="D80" t="s">
        <v>1310</v>
      </c>
      <c r="E80" s="3">
        <v>60</v>
      </c>
      <c r="F80" s="8">
        <v>0.3</v>
      </c>
      <c r="G80" s="9">
        <f t="shared" si="2"/>
        <v>85.714285714285722</v>
      </c>
      <c r="H80" s="10">
        <f t="shared" si="3"/>
        <v>25.714285714285722</v>
      </c>
    </row>
    <row r="81" spans="2:8" x14ac:dyDescent="0.3">
      <c r="D81" t="s">
        <v>1311</v>
      </c>
      <c r="E81" s="3">
        <v>70</v>
      </c>
      <c r="F81" s="8">
        <v>0.3</v>
      </c>
      <c r="G81" s="9">
        <f t="shared" si="2"/>
        <v>100</v>
      </c>
      <c r="H81" s="10">
        <f t="shared" si="3"/>
        <v>30</v>
      </c>
    </row>
    <row r="82" spans="2:8" x14ac:dyDescent="0.3">
      <c r="D82" t="s">
        <v>1312</v>
      </c>
      <c r="E82" s="3">
        <v>70</v>
      </c>
      <c r="F82" s="8">
        <v>0.3</v>
      </c>
      <c r="G82" s="9">
        <f t="shared" si="2"/>
        <v>100</v>
      </c>
      <c r="H82" s="10">
        <f t="shared" si="3"/>
        <v>30</v>
      </c>
    </row>
    <row r="83" spans="2:8" x14ac:dyDescent="0.3">
      <c r="D83" t="s">
        <v>1313</v>
      </c>
      <c r="E83" s="3">
        <v>65</v>
      </c>
      <c r="F83" s="8">
        <v>0.3</v>
      </c>
      <c r="G83" s="9">
        <f t="shared" si="2"/>
        <v>92.857142857142861</v>
      </c>
      <c r="H83" s="10">
        <f t="shared" si="3"/>
        <v>27.857142857142861</v>
      </c>
    </row>
    <row r="84" spans="2:8" x14ac:dyDescent="0.3">
      <c r="B84" t="s">
        <v>1369</v>
      </c>
      <c r="D84" t="s">
        <v>1368</v>
      </c>
      <c r="F84" s="8">
        <v>0.3</v>
      </c>
    </row>
    <row r="85" spans="2:8" x14ac:dyDescent="0.3">
      <c r="C85" t="s">
        <v>1426</v>
      </c>
      <c r="D85" t="s">
        <v>1427</v>
      </c>
      <c r="G85">
        <v>95</v>
      </c>
    </row>
    <row r="86" spans="2:8" x14ac:dyDescent="0.3">
      <c r="B86" t="s">
        <v>1432</v>
      </c>
    </row>
  </sheetData>
  <sortState xmlns:xlrd2="http://schemas.microsoft.com/office/spreadsheetml/2017/richdata2" ref="A2:J53">
    <sortCondition ref="C2:C53" customList="ZM-100,ZM-1002,ZM-1003,ZM-225,ZM-226,ZM-227,ZM-1000,ZM-1001,ZM-2001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8716-95F8-4AEF-B830-D7F62D974585}">
  <dimension ref="A1:I45"/>
  <sheetViews>
    <sheetView workbookViewId="0">
      <selection activeCell="H8" sqref="H8"/>
    </sheetView>
  </sheetViews>
  <sheetFormatPr baseColWidth="10" defaultRowHeight="16.5" x14ac:dyDescent="0.3"/>
  <cols>
    <col min="1" max="1" width="20.25" customWidth="1"/>
    <col min="3" max="3" width="50.75" customWidth="1"/>
    <col min="5" max="5" width="4.5" customWidth="1"/>
    <col min="8" max="8" width="18.875" customWidth="1"/>
  </cols>
  <sheetData>
    <row r="1" spans="1:9" x14ac:dyDescent="0.3">
      <c r="A1" t="s">
        <v>496</v>
      </c>
      <c r="B1" t="s">
        <v>499</v>
      </c>
      <c r="C1" t="s">
        <v>500</v>
      </c>
      <c r="D1" t="s">
        <v>501</v>
      </c>
      <c r="E1" s="8">
        <v>0.3</v>
      </c>
      <c r="F1" s="2" t="s">
        <v>640</v>
      </c>
      <c r="G1" t="s">
        <v>504</v>
      </c>
      <c r="H1" t="s">
        <v>505</v>
      </c>
      <c r="I1" s="6" t="s">
        <v>506</v>
      </c>
    </row>
    <row r="2" spans="1:9" x14ac:dyDescent="0.3">
      <c r="A2">
        <v>5</v>
      </c>
      <c r="B2" t="s">
        <v>850</v>
      </c>
      <c r="C2" t="s">
        <v>851</v>
      </c>
      <c r="D2" s="3">
        <v>20</v>
      </c>
      <c r="E2" s="8">
        <v>0.3</v>
      </c>
      <c r="F2" s="6">
        <f t="shared" ref="F2:F45" si="0">D2/(1-E2)</f>
        <v>28.571428571428573</v>
      </c>
      <c r="G2" s="3">
        <f t="shared" ref="G2:G45" si="1">F2-D2</f>
        <v>8.571428571428573</v>
      </c>
      <c r="H2" t="s">
        <v>849</v>
      </c>
      <c r="I2" s="6"/>
    </row>
    <row r="3" spans="1:9" x14ac:dyDescent="0.3">
      <c r="A3">
        <v>5</v>
      </c>
      <c r="B3" t="s">
        <v>848</v>
      </c>
      <c r="C3" t="s">
        <v>729</v>
      </c>
      <c r="D3" s="3">
        <v>20</v>
      </c>
      <c r="E3" s="8">
        <v>0.3</v>
      </c>
      <c r="F3" s="6">
        <f t="shared" si="0"/>
        <v>28.571428571428573</v>
      </c>
      <c r="G3" s="3">
        <f t="shared" si="1"/>
        <v>8.571428571428573</v>
      </c>
      <c r="H3" t="s">
        <v>849</v>
      </c>
      <c r="I3" s="6"/>
    </row>
    <row r="4" spans="1:9" x14ac:dyDescent="0.3">
      <c r="A4">
        <v>5</v>
      </c>
      <c r="B4" t="s">
        <v>852</v>
      </c>
      <c r="C4" t="s">
        <v>853</v>
      </c>
      <c r="D4" s="3">
        <v>25</v>
      </c>
      <c r="E4" s="8">
        <v>0.3</v>
      </c>
      <c r="F4" s="6">
        <f t="shared" si="0"/>
        <v>35.714285714285715</v>
      </c>
      <c r="G4" s="3">
        <f t="shared" si="1"/>
        <v>10.714285714285715</v>
      </c>
      <c r="H4" t="s">
        <v>849</v>
      </c>
      <c r="I4" s="6"/>
    </row>
    <row r="5" spans="1:9" x14ac:dyDescent="0.3">
      <c r="A5">
        <v>5</v>
      </c>
      <c r="B5" t="s">
        <v>879</v>
      </c>
      <c r="C5" t="s">
        <v>880</v>
      </c>
      <c r="D5" s="3">
        <v>16</v>
      </c>
      <c r="E5" s="8">
        <v>0.3</v>
      </c>
      <c r="F5" s="6">
        <f t="shared" si="0"/>
        <v>22.857142857142858</v>
      </c>
      <c r="G5" s="3">
        <f t="shared" si="1"/>
        <v>6.8571428571428577</v>
      </c>
      <c r="H5" t="s">
        <v>849</v>
      </c>
      <c r="I5" s="6"/>
    </row>
    <row r="6" spans="1:9" x14ac:dyDescent="0.3">
      <c r="A6">
        <v>5</v>
      </c>
      <c r="B6" t="s">
        <v>854</v>
      </c>
      <c r="C6" t="s">
        <v>855</v>
      </c>
      <c r="D6" s="3">
        <v>17</v>
      </c>
      <c r="E6" s="8">
        <v>0.3</v>
      </c>
      <c r="F6" s="6">
        <f t="shared" si="0"/>
        <v>24.285714285714288</v>
      </c>
      <c r="G6" s="3">
        <f t="shared" si="1"/>
        <v>7.2857142857142883</v>
      </c>
      <c r="H6" t="s">
        <v>849</v>
      </c>
      <c r="I6" s="6"/>
    </row>
    <row r="7" spans="1:9" x14ac:dyDescent="0.3">
      <c r="A7">
        <v>5</v>
      </c>
      <c r="B7" t="s">
        <v>884</v>
      </c>
      <c r="C7" t="s">
        <v>885</v>
      </c>
      <c r="D7" s="3">
        <v>19</v>
      </c>
      <c r="E7" s="8">
        <v>0.3</v>
      </c>
      <c r="F7" s="6">
        <f t="shared" si="0"/>
        <v>27.142857142857146</v>
      </c>
      <c r="G7" s="3">
        <f t="shared" si="1"/>
        <v>8.1428571428571459</v>
      </c>
      <c r="H7" t="s">
        <v>849</v>
      </c>
      <c r="I7" s="6"/>
    </row>
    <row r="8" spans="1:9" x14ac:dyDescent="0.3">
      <c r="A8">
        <v>5</v>
      </c>
      <c r="B8" t="s">
        <v>856</v>
      </c>
      <c r="C8" t="s">
        <v>857</v>
      </c>
      <c r="D8" s="3">
        <v>24</v>
      </c>
      <c r="E8" s="8">
        <v>0.3</v>
      </c>
      <c r="F8" s="6">
        <f t="shared" si="0"/>
        <v>34.285714285714285</v>
      </c>
      <c r="G8" s="3">
        <f t="shared" si="1"/>
        <v>10.285714285714285</v>
      </c>
      <c r="H8" t="s">
        <v>849</v>
      </c>
      <c r="I8" s="6"/>
    </row>
    <row r="9" spans="1:9" x14ac:dyDescent="0.3">
      <c r="A9">
        <v>5</v>
      </c>
      <c r="B9" t="s">
        <v>858</v>
      </c>
      <c r="C9" t="s">
        <v>859</v>
      </c>
      <c r="D9" s="3">
        <v>15</v>
      </c>
      <c r="E9" s="8">
        <v>0.3</v>
      </c>
      <c r="F9" s="6">
        <f t="shared" si="0"/>
        <v>21.428571428571431</v>
      </c>
      <c r="G9" s="3">
        <f t="shared" si="1"/>
        <v>6.4285714285714306</v>
      </c>
      <c r="H9" t="s">
        <v>849</v>
      </c>
      <c r="I9" s="6"/>
    </row>
    <row r="10" spans="1:9" x14ac:dyDescent="0.3">
      <c r="A10">
        <v>5</v>
      </c>
      <c r="B10" t="s">
        <v>886</v>
      </c>
      <c r="C10" t="s">
        <v>887</v>
      </c>
      <c r="D10" s="3">
        <v>18</v>
      </c>
      <c r="E10" s="8">
        <v>0.3</v>
      </c>
      <c r="F10" s="6">
        <f t="shared" si="0"/>
        <v>25.714285714285715</v>
      </c>
      <c r="G10" s="3">
        <f t="shared" si="1"/>
        <v>7.7142857142857153</v>
      </c>
      <c r="H10" t="s">
        <v>849</v>
      </c>
      <c r="I10" s="6"/>
    </row>
    <row r="11" spans="1:9" x14ac:dyDescent="0.3">
      <c r="A11">
        <v>5</v>
      </c>
      <c r="B11" t="s">
        <v>860</v>
      </c>
      <c r="C11" t="s">
        <v>861</v>
      </c>
      <c r="D11" s="3">
        <v>18</v>
      </c>
      <c r="E11" s="8">
        <v>0.3</v>
      </c>
      <c r="F11" s="6">
        <f t="shared" si="0"/>
        <v>25.714285714285715</v>
      </c>
      <c r="G11" s="3">
        <f t="shared" si="1"/>
        <v>7.7142857142857153</v>
      </c>
      <c r="H11" t="s">
        <v>849</v>
      </c>
      <c r="I11" s="6"/>
    </row>
    <row r="12" spans="1:9" x14ac:dyDescent="0.3">
      <c r="A12">
        <v>5</v>
      </c>
      <c r="B12" t="s">
        <v>862</v>
      </c>
      <c r="C12" t="s">
        <v>863</v>
      </c>
      <c r="D12" s="3">
        <v>25</v>
      </c>
      <c r="E12" s="8">
        <v>0.3</v>
      </c>
      <c r="F12" s="6">
        <f t="shared" si="0"/>
        <v>35.714285714285715</v>
      </c>
      <c r="G12" s="3">
        <f t="shared" si="1"/>
        <v>10.714285714285715</v>
      </c>
      <c r="H12" t="s">
        <v>849</v>
      </c>
      <c r="I12" s="6"/>
    </row>
    <row r="13" spans="1:9" x14ac:dyDescent="0.3">
      <c r="A13">
        <v>5</v>
      </c>
      <c r="B13" t="s">
        <v>888</v>
      </c>
      <c r="C13" t="s">
        <v>737</v>
      </c>
      <c r="D13" s="3">
        <v>25</v>
      </c>
      <c r="E13" s="8">
        <v>0.3</v>
      </c>
      <c r="F13" s="6">
        <f t="shared" si="0"/>
        <v>35.714285714285715</v>
      </c>
      <c r="G13" s="3">
        <f t="shared" si="1"/>
        <v>10.714285714285715</v>
      </c>
      <c r="H13" t="s">
        <v>849</v>
      </c>
      <c r="I13" s="6"/>
    </row>
    <row r="14" spans="1:9" x14ac:dyDescent="0.3">
      <c r="A14">
        <v>5</v>
      </c>
      <c r="B14" t="s">
        <v>865</v>
      </c>
      <c r="C14" t="s">
        <v>866</v>
      </c>
      <c r="D14" s="3">
        <v>37</v>
      </c>
      <c r="E14" s="8">
        <v>0.3</v>
      </c>
      <c r="F14" s="6">
        <f t="shared" si="0"/>
        <v>52.857142857142861</v>
      </c>
      <c r="G14" s="3">
        <f t="shared" si="1"/>
        <v>15.857142857142861</v>
      </c>
      <c r="H14" t="s">
        <v>849</v>
      </c>
      <c r="I14" s="6"/>
    </row>
    <row r="15" spans="1:9" x14ac:dyDescent="0.3">
      <c r="A15">
        <v>5</v>
      </c>
      <c r="B15" t="s">
        <v>911</v>
      </c>
      <c r="C15" t="s">
        <v>864</v>
      </c>
      <c r="D15" s="3">
        <v>20</v>
      </c>
      <c r="E15" s="8">
        <v>0.3</v>
      </c>
      <c r="F15" s="6">
        <f t="shared" si="0"/>
        <v>28.571428571428573</v>
      </c>
      <c r="G15" s="3">
        <f t="shared" si="1"/>
        <v>8.571428571428573</v>
      </c>
      <c r="H15" t="s">
        <v>849</v>
      </c>
      <c r="I15" s="6"/>
    </row>
    <row r="16" spans="1:9" x14ac:dyDescent="0.3">
      <c r="A16">
        <v>5</v>
      </c>
      <c r="B16" t="s">
        <v>881</v>
      </c>
      <c r="C16" t="s">
        <v>882</v>
      </c>
      <c r="D16" s="3">
        <v>16</v>
      </c>
      <c r="E16" s="8">
        <v>0.3</v>
      </c>
      <c r="F16" s="6">
        <f t="shared" si="0"/>
        <v>22.857142857142858</v>
      </c>
      <c r="G16" s="3">
        <f t="shared" si="1"/>
        <v>6.8571428571428577</v>
      </c>
      <c r="H16" t="s">
        <v>849</v>
      </c>
      <c r="I16" s="6"/>
    </row>
    <row r="17" spans="1:9" x14ac:dyDescent="0.3">
      <c r="A17">
        <v>5</v>
      </c>
      <c r="B17" t="s">
        <v>883</v>
      </c>
      <c r="C17" t="s">
        <v>861</v>
      </c>
      <c r="D17" s="3">
        <v>16</v>
      </c>
      <c r="E17" s="8">
        <v>0.3</v>
      </c>
      <c r="F17" s="6">
        <f t="shared" si="0"/>
        <v>22.857142857142858</v>
      </c>
      <c r="G17" s="3">
        <f t="shared" si="1"/>
        <v>6.8571428571428577</v>
      </c>
      <c r="H17" t="s">
        <v>849</v>
      </c>
      <c r="I17" s="6"/>
    </row>
    <row r="18" spans="1:9" x14ac:dyDescent="0.3">
      <c r="A18">
        <v>5</v>
      </c>
      <c r="B18" t="s">
        <v>871</v>
      </c>
      <c r="C18" t="s">
        <v>872</v>
      </c>
      <c r="D18" s="3">
        <v>16</v>
      </c>
      <c r="E18" s="8">
        <v>0.3</v>
      </c>
      <c r="F18" s="6">
        <f t="shared" si="0"/>
        <v>22.857142857142858</v>
      </c>
      <c r="G18" s="3">
        <f t="shared" si="1"/>
        <v>6.8571428571428577</v>
      </c>
      <c r="H18" t="s">
        <v>849</v>
      </c>
      <c r="I18" s="6"/>
    </row>
    <row r="19" spans="1:9" x14ac:dyDescent="0.3">
      <c r="A19">
        <v>5</v>
      </c>
      <c r="B19" t="s">
        <v>869</v>
      </c>
      <c r="C19" t="s">
        <v>870</v>
      </c>
      <c r="D19" s="3">
        <v>20</v>
      </c>
      <c r="E19" s="8">
        <v>0.3</v>
      </c>
      <c r="F19" s="6">
        <f t="shared" si="0"/>
        <v>28.571428571428573</v>
      </c>
      <c r="G19" s="3">
        <f t="shared" si="1"/>
        <v>8.571428571428573</v>
      </c>
      <c r="H19" t="s">
        <v>849</v>
      </c>
      <c r="I19" s="6"/>
    </row>
    <row r="20" spans="1:9" x14ac:dyDescent="0.3">
      <c r="A20">
        <v>5</v>
      </c>
      <c r="B20" t="s">
        <v>867</v>
      </c>
      <c r="C20" t="s">
        <v>868</v>
      </c>
      <c r="D20" s="3">
        <v>30</v>
      </c>
      <c r="E20" s="8">
        <v>0.3</v>
      </c>
      <c r="F20" s="6">
        <f t="shared" si="0"/>
        <v>42.857142857142861</v>
      </c>
      <c r="G20" s="3">
        <f t="shared" si="1"/>
        <v>12.857142857142861</v>
      </c>
      <c r="H20" t="s">
        <v>849</v>
      </c>
      <c r="I20" s="6"/>
    </row>
    <row r="21" spans="1:9" x14ac:dyDescent="0.3">
      <c r="A21">
        <v>5</v>
      </c>
      <c r="B21" t="s">
        <v>889</v>
      </c>
      <c r="C21" t="s">
        <v>890</v>
      </c>
      <c r="D21" s="3">
        <v>37.5</v>
      </c>
      <c r="E21" s="8">
        <v>0.3</v>
      </c>
      <c r="F21" s="6">
        <f t="shared" si="0"/>
        <v>53.571428571428577</v>
      </c>
      <c r="G21" s="3">
        <f t="shared" si="1"/>
        <v>16.071428571428577</v>
      </c>
      <c r="H21" t="s">
        <v>849</v>
      </c>
      <c r="I21" s="6"/>
    </row>
    <row r="22" spans="1:9" x14ac:dyDescent="0.3">
      <c r="A22">
        <v>5</v>
      </c>
      <c r="B22" t="s">
        <v>893</v>
      </c>
      <c r="C22" t="s">
        <v>894</v>
      </c>
      <c r="D22" s="3">
        <v>20</v>
      </c>
      <c r="E22" s="8">
        <v>0.3</v>
      </c>
      <c r="F22" s="6">
        <f t="shared" si="0"/>
        <v>28.571428571428573</v>
      </c>
      <c r="G22" s="3">
        <f t="shared" si="1"/>
        <v>8.571428571428573</v>
      </c>
      <c r="H22" t="s">
        <v>849</v>
      </c>
      <c r="I22" s="6"/>
    </row>
    <row r="23" spans="1:9" x14ac:dyDescent="0.3">
      <c r="A23">
        <v>5</v>
      </c>
      <c r="B23" t="s">
        <v>877</v>
      </c>
      <c r="C23" t="s">
        <v>878</v>
      </c>
      <c r="D23" s="3">
        <v>16</v>
      </c>
      <c r="E23" s="8">
        <v>0.3</v>
      </c>
      <c r="F23" s="6">
        <f t="shared" si="0"/>
        <v>22.857142857142858</v>
      </c>
      <c r="G23" s="3">
        <f t="shared" si="1"/>
        <v>6.8571428571428577</v>
      </c>
      <c r="H23" t="s">
        <v>849</v>
      </c>
      <c r="I23" s="6"/>
    </row>
    <row r="24" spans="1:9" x14ac:dyDescent="0.3">
      <c r="A24">
        <v>5</v>
      </c>
      <c r="B24" t="s">
        <v>875</v>
      </c>
      <c r="C24" t="s">
        <v>876</v>
      </c>
      <c r="D24" s="3">
        <v>20</v>
      </c>
      <c r="E24" s="8">
        <v>0.3</v>
      </c>
      <c r="F24" s="6">
        <f t="shared" si="0"/>
        <v>28.571428571428573</v>
      </c>
      <c r="G24" s="3">
        <f t="shared" si="1"/>
        <v>8.571428571428573</v>
      </c>
      <c r="H24" t="s">
        <v>849</v>
      </c>
      <c r="I24" s="6"/>
    </row>
    <row r="25" spans="1:9" x14ac:dyDescent="0.3">
      <c r="A25">
        <v>5</v>
      </c>
      <c r="B25" t="s">
        <v>895</v>
      </c>
      <c r="C25" t="s">
        <v>896</v>
      </c>
      <c r="D25" s="3">
        <v>20</v>
      </c>
      <c r="E25" s="8">
        <v>0.3</v>
      </c>
      <c r="F25" s="6">
        <f t="shared" si="0"/>
        <v>28.571428571428573</v>
      </c>
      <c r="G25" s="3">
        <f t="shared" si="1"/>
        <v>8.571428571428573</v>
      </c>
      <c r="H25" t="s">
        <v>849</v>
      </c>
      <c r="I25" s="6"/>
    </row>
    <row r="26" spans="1:9" x14ac:dyDescent="0.3">
      <c r="A26">
        <v>5</v>
      </c>
      <c r="B26" t="s">
        <v>873</v>
      </c>
      <c r="C26" t="s">
        <v>874</v>
      </c>
      <c r="D26" s="3">
        <v>16</v>
      </c>
      <c r="E26" s="8">
        <v>0.3</v>
      </c>
      <c r="F26" s="6">
        <f t="shared" si="0"/>
        <v>22.857142857142858</v>
      </c>
      <c r="G26" s="3">
        <f t="shared" si="1"/>
        <v>6.8571428571428577</v>
      </c>
      <c r="H26" t="s">
        <v>849</v>
      </c>
      <c r="I26" s="6"/>
    </row>
    <row r="27" spans="1:9" x14ac:dyDescent="0.3">
      <c r="A27">
        <v>5</v>
      </c>
      <c r="B27" t="s">
        <v>899</v>
      </c>
      <c r="C27" t="s">
        <v>900</v>
      </c>
      <c r="D27" s="3">
        <v>52</v>
      </c>
      <c r="E27" s="8">
        <v>0.3</v>
      </c>
      <c r="F27" s="6">
        <f t="shared" si="0"/>
        <v>74.285714285714292</v>
      </c>
      <c r="G27" s="3">
        <f t="shared" si="1"/>
        <v>22.285714285714292</v>
      </c>
      <c r="H27" t="s">
        <v>849</v>
      </c>
      <c r="I27" s="6"/>
    </row>
    <row r="28" spans="1:9" x14ac:dyDescent="0.3">
      <c r="A28" t="s">
        <v>1019</v>
      </c>
      <c r="B28" t="s">
        <v>897</v>
      </c>
      <c r="C28" t="s">
        <v>898</v>
      </c>
      <c r="D28" s="3">
        <v>31</v>
      </c>
      <c r="E28" s="8">
        <v>0.3</v>
      </c>
      <c r="F28" s="6">
        <f t="shared" si="0"/>
        <v>44.285714285714292</v>
      </c>
      <c r="G28" s="3">
        <f t="shared" si="1"/>
        <v>13.285714285714292</v>
      </c>
      <c r="H28" t="s">
        <v>849</v>
      </c>
      <c r="I28" s="6"/>
    </row>
    <row r="29" spans="1:9" x14ac:dyDescent="0.3">
      <c r="A29">
        <v>5</v>
      </c>
      <c r="B29" t="s">
        <v>891</v>
      </c>
      <c r="C29" t="s">
        <v>892</v>
      </c>
      <c r="D29" s="3">
        <v>37.5</v>
      </c>
      <c r="E29" s="8">
        <v>0.3</v>
      </c>
      <c r="F29" s="6">
        <f t="shared" si="0"/>
        <v>53.571428571428577</v>
      </c>
      <c r="G29" s="3">
        <f t="shared" si="1"/>
        <v>16.071428571428577</v>
      </c>
      <c r="H29" t="s">
        <v>849</v>
      </c>
      <c r="I29" s="6"/>
    </row>
    <row r="30" spans="1:9" x14ac:dyDescent="0.3">
      <c r="A30">
        <v>5</v>
      </c>
      <c r="B30" t="s">
        <v>901</v>
      </c>
      <c r="C30" t="s">
        <v>902</v>
      </c>
      <c r="D30" s="3">
        <v>29</v>
      </c>
      <c r="E30" s="8">
        <v>0.3</v>
      </c>
      <c r="F30" s="6">
        <f t="shared" si="0"/>
        <v>41.428571428571431</v>
      </c>
      <c r="G30" s="3">
        <f t="shared" si="1"/>
        <v>12.428571428571431</v>
      </c>
      <c r="H30" t="s">
        <v>849</v>
      </c>
      <c r="I30" s="6"/>
    </row>
    <row r="31" spans="1:9" x14ac:dyDescent="0.3">
      <c r="A31">
        <v>5</v>
      </c>
      <c r="B31" t="s">
        <v>903</v>
      </c>
      <c r="C31" t="s">
        <v>904</v>
      </c>
      <c r="D31" s="3">
        <v>28</v>
      </c>
      <c r="E31" s="8">
        <v>0.3</v>
      </c>
      <c r="F31" s="6">
        <f t="shared" si="0"/>
        <v>40</v>
      </c>
      <c r="G31" s="3">
        <f t="shared" si="1"/>
        <v>12</v>
      </c>
      <c r="H31" t="s">
        <v>849</v>
      </c>
      <c r="I31" s="6"/>
    </row>
    <row r="32" spans="1:9" x14ac:dyDescent="0.3">
      <c r="B32" t="s">
        <v>905</v>
      </c>
      <c r="C32" t="s">
        <v>906</v>
      </c>
      <c r="D32" s="3">
        <v>20</v>
      </c>
      <c r="E32" s="8">
        <v>0.3</v>
      </c>
      <c r="F32" s="6">
        <f t="shared" si="0"/>
        <v>28.571428571428573</v>
      </c>
      <c r="G32" s="3">
        <f t="shared" si="1"/>
        <v>8.571428571428573</v>
      </c>
      <c r="H32" t="s">
        <v>849</v>
      </c>
      <c r="I32" s="6"/>
    </row>
    <row r="33" spans="1:9" x14ac:dyDescent="0.3">
      <c r="A33">
        <v>5</v>
      </c>
      <c r="B33" t="s">
        <v>907</v>
      </c>
      <c r="C33" t="s">
        <v>908</v>
      </c>
      <c r="D33" s="3">
        <v>16</v>
      </c>
      <c r="E33" s="8">
        <v>0.3</v>
      </c>
      <c r="F33" s="6">
        <f t="shared" si="0"/>
        <v>22.857142857142858</v>
      </c>
      <c r="G33" s="3">
        <f t="shared" si="1"/>
        <v>6.8571428571428577</v>
      </c>
      <c r="H33" t="s">
        <v>849</v>
      </c>
      <c r="I33" s="6"/>
    </row>
    <row r="34" spans="1:9" x14ac:dyDescent="0.3">
      <c r="A34">
        <v>3</v>
      </c>
      <c r="B34" t="s">
        <v>909</v>
      </c>
      <c r="C34" t="s">
        <v>910</v>
      </c>
      <c r="D34" s="3">
        <v>25</v>
      </c>
      <c r="E34" s="8">
        <v>0.3</v>
      </c>
      <c r="F34" s="6">
        <f t="shared" si="0"/>
        <v>35.714285714285715</v>
      </c>
      <c r="G34" s="3">
        <f t="shared" si="1"/>
        <v>10.714285714285715</v>
      </c>
      <c r="H34" t="s">
        <v>849</v>
      </c>
      <c r="I34" s="6"/>
    </row>
    <row r="35" spans="1:9" x14ac:dyDescent="0.3">
      <c r="B35" t="s">
        <v>1013</v>
      </c>
      <c r="C35" t="s">
        <v>1014</v>
      </c>
      <c r="D35" s="3">
        <v>20</v>
      </c>
      <c r="E35" s="8">
        <v>0.3</v>
      </c>
      <c r="F35" s="6">
        <f t="shared" si="0"/>
        <v>28.571428571428573</v>
      </c>
      <c r="G35" s="3">
        <f t="shared" si="1"/>
        <v>8.571428571428573</v>
      </c>
      <c r="H35" t="s">
        <v>849</v>
      </c>
      <c r="I35" s="6"/>
    </row>
    <row r="36" spans="1:9" x14ac:dyDescent="0.3">
      <c r="B36" t="s">
        <v>1135</v>
      </c>
      <c r="C36" t="s">
        <v>1136</v>
      </c>
      <c r="D36" s="3">
        <v>26</v>
      </c>
      <c r="E36" s="8">
        <v>0.3</v>
      </c>
      <c r="F36" s="6">
        <f t="shared" si="0"/>
        <v>37.142857142857146</v>
      </c>
      <c r="G36" s="3">
        <f t="shared" si="1"/>
        <v>11.142857142857146</v>
      </c>
      <c r="H36" t="s">
        <v>849</v>
      </c>
      <c r="I36" s="6">
        <v>50</v>
      </c>
    </row>
    <row r="37" spans="1:9" x14ac:dyDescent="0.3">
      <c r="A37" t="s">
        <v>1235</v>
      </c>
      <c r="B37">
        <v>348</v>
      </c>
      <c r="E37" s="8">
        <v>0.3</v>
      </c>
      <c r="F37" s="6">
        <f t="shared" si="0"/>
        <v>0</v>
      </c>
      <c r="G37" s="3">
        <f t="shared" si="1"/>
        <v>0</v>
      </c>
    </row>
    <row r="38" spans="1:9" x14ac:dyDescent="0.3">
      <c r="B38" t="s">
        <v>1260</v>
      </c>
      <c r="C38" t="s">
        <v>1261</v>
      </c>
      <c r="E38" s="8">
        <v>0.3</v>
      </c>
      <c r="F38" s="6">
        <f t="shared" si="0"/>
        <v>0</v>
      </c>
      <c r="G38" s="3">
        <f t="shared" si="1"/>
        <v>0</v>
      </c>
    </row>
    <row r="39" spans="1:9" x14ac:dyDescent="0.3">
      <c r="B39" t="s">
        <v>1280</v>
      </c>
      <c r="C39" t="s">
        <v>1281</v>
      </c>
      <c r="E39" s="8">
        <v>0.3</v>
      </c>
      <c r="F39" s="6">
        <f t="shared" si="0"/>
        <v>0</v>
      </c>
      <c r="G39" s="3">
        <f t="shared" si="1"/>
        <v>0</v>
      </c>
    </row>
    <row r="40" spans="1:9" x14ac:dyDescent="0.3">
      <c r="A40">
        <v>2</v>
      </c>
      <c r="B40" t="s">
        <v>1436</v>
      </c>
      <c r="C40" t="s">
        <v>1064</v>
      </c>
      <c r="D40">
        <v>28</v>
      </c>
      <c r="E40" s="8">
        <v>0.3</v>
      </c>
      <c r="F40" s="6">
        <f t="shared" si="0"/>
        <v>40</v>
      </c>
      <c r="G40" s="3">
        <f t="shared" si="1"/>
        <v>12</v>
      </c>
      <c r="H40" t="s">
        <v>849</v>
      </c>
    </row>
    <row r="41" spans="1:9" x14ac:dyDescent="0.3">
      <c r="E41" s="8">
        <v>0.3</v>
      </c>
      <c r="F41" s="6">
        <f t="shared" si="0"/>
        <v>0</v>
      </c>
      <c r="G41" s="3">
        <f t="shared" si="1"/>
        <v>0</v>
      </c>
    </row>
    <row r="42" spans="1:9" x14ac:dyDescent="0.3">
      <c r="E42" s="8">
        <v>0.3</v>
      </c>
      <c r="F42" s="6">
        <f t="shared" si="0"/>
        <v>0</v>
      </c>
      <c r="G42" s="3">
        <f t="shared" si="1"/>
        <v>0</v>
      </c>
    </row>
    <row r="43" spans="1:9" x14ac:dyDescent="0.3">
      <c r="E43" s="8">
        <v>0.3</v>
      </c>
      <c r="F43" s="6">
        <f t="shared" si="0"/>
        <v>0</v>
      </c>
      <c r="G43" s="3">
        <f t="shared" si="1"/>
        <v>0</v>
      </c>
    </row>
    <row r="44" spans="1:9" x14ac:dyDescent="0.3">
      <c r="E44" s="8">
        <v>0.3</v>
      </c>
      <c r="F44" s="6">
        <f t="shared" si="0"/>
        <v>0</v>
      </c>
      <c r="G44" s="3">
        <f t="shared" si="1"/>
        <v>0</v>
      </c>
    </row>
    <row r="45" spans="1:9" x14ac:dyDescent="0.3">
      <c r="E45" s="8">
        <v>0.3</v>
      </c>
      <c r="F45" s="6">
        <f t="shared" si="0"/>
        <v>0</v>
      </c>
      <c r="G45" s="3">
        <f t="shared" si="1"/>
        <v>0</v>
      </c>
    </row>
  </sheetData>
  <sortState xmlns:xlrd2="http://schemas.microsoft.com/office/spreadsheetml/2017/richdata2" ref="A2:H34">
    <sortCondition ref="B2:B34" customList="UF-1.001/1,UF-1.002/1,UF-1.001/2,UF-2.001/1,UF-2.100/2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29D5-891E-47C0-84BA-2C21A1BC88F8}">
  <dimension ref="A1:J44"/>
  <sheetViews>
    <sheetView workbookViewId="0">
      <selection activeCell="H17" sqref="H17"/>
    </sheetView>
  </sheetViews>
  <sheetFormatPr baseColWidth="10" defaultRowHeight="16.5" x14ac:dyDescent="0.3"/>
  <cols>
    <col min="2" max="2" width="12.875" customWidth="1"/>
    <col min="3" max="3" width="57.625" customWidth="1"/>
    <col min="8" max="8" width="10.875" bestFit="1" customWidth="1"/>
  </cols>
  <sheetData>
    <row r="1" spans="1:8" x14ac:dyDescent="0.3">
      <c r="A1" t="s">
        <v>496</v>
      </c>
      <c r="B1" t="s">
        <v>499</v>
      </c>
      <c r="C1" t="s">
        <v>500</v>
      </c>
      <c r="D1" t="s">
        <v>501</v>
      </c>
      <c r="E1" t="s">
        <v>504</v>
      </c>
      <c r="F1" s="2" t="s">
        <v>640</v>
      </c>
      <c r="G1" t="s">
        <v>504</v>
      </c>
      <c r="H1" t="s">
        <v>505</v>
      </c>
    </row>
    <row r="2" spans="1:8" x14ac:dyDescent="0.3">
      <c r="B2" t="s">
        <v>921</v>
      </c>
      <c r="C2" t="s">
        <v>922</v>
      </c>
      <c r="D2" s="22">
        <v>20</v>
      </c>
      <c r="E2" s="4">
        <v>0.5</v>
      </c>
      <c r="F2" s="6">
        <f>D2/(1-E2)</f>
        <v>40</v>
      </c>
      <c r="G2" s="3">
        <f>F2-D2</f>
        <v>20</v>
      </c>
    </row>
    <row r="3" spans="1:8" x14ac:dyDescent="0.3">
      <c r="B3" t="s">
        <v>923</v>
      </c>
      <c r="C3" t="s">
        <v>924</v>
      </c>
      <c r="D3" s="3">
        <v>25</v>
      </c>
      <c r="E3" s="4">
        <v>0.5</v>
      </c>
      <c r="F3" s="6">
        <f t="shared" ref="F3:F26" si="0">D3/(1-E3)</f>
        <v>50</v>
      </c>
      <c r="G3" s="3">
        <f t="shared" ref="G3:G26" si="1">F3-D3</f>
        <v>25</v>
      </c>
    </row>
    <row r="4" spans="1:8" x14ac:dyDescent="0.3">
      <c r="B4" t="s">
        <v>925</v>
      </c>
      <c r="C4" t="s">
        <v>926</v>
      </c>
      <c r="D4" s="3">
        <v>35</v>
      </c>
      <c r="E4" s="4">
        <v>0.5</v>
      </c>
      <c r="F4" s="6">
        <f t="shared" si="0"/>
        <v>70</v>
      </c>
      <c r="G4" s="3">
        <f t="shared" si="1"/>
        <v>35</v>
      </c>
    </row>
    <row r="5" spans="1:8" x14ac:dyDescent="0.3">
      <c r="B5" t="s">
        <v>927</v>
      </c>
      <c r="C5" t="s">
        <v>928</v>
      </c>
      <c r="D5" s="3">
        <v>39.5</v>
      </c>
      <c r="E5" s="4">
        <v>0.5</v>
      </c>
      <c r="F5" s="6">
        <f t="shared" si="0"/>
        <v>79</v>
      </c>
      <c r="G5" s="3">
        <f t="shared" si="1"/>
        <v>39.5</v>
      </c>
    </row>
    <row r="6" spans="1:8" x14ac:dyDescent="0.3">
      <c r="B6" t="s">
        <v>929</v>
      </c>
      <c r="C6" t="s">
        <v>930</v>
      </c>
      <c r="D6" s="3">
        <v>45</v>
      </c>
      <c r="E6" s="4">
        <v>0.5</v>
      </c>
      <c r="F6" s="6">
        <f t="shared" si="0"/>
        <v>90</v>
      </c>
      <c r="G6" s="3">
        <f t="shared" si="1"/>
        <v>45</v>
      </c>
    </row>
    <row r="7" spans="1:8" x14ac:dyDescent="0.3">
      <c r="B7" t="s">
        <v>931</v>
      </c>
      <c r="C7" t="s">
        <v>932</v>
      </c>
      <c r="D7" s="3">
        <v>40</v>
      </c>
      <c r="E7" s="4">
        <v>0.5</v>
      </c>
      <c r="F7" s="6">
        <f t="shared" si="0"/>
        <v>80</v>
      </c>
      <c r="G7" s="3">
        <f t="shared" si="1"/>
        <v>40</v>
      </c>
    </row>
    <row r="8" spans="1:8" x14ac:dyDescent="0.3">
      <c r="B8" t="s">
        <v>933</v>
      </c>
      <c r="C8" t="s">
        <v>934</v>
      </c>
      <c r="D8" s="3"/>
      <c r="E8" s="4">
        <v>0.2</v>
      </c>
      <c r="F8" s="6">
        <f t="shared" si="0"/>
        <v>0</v>
      </c>
      <c r="G8" s="3">
        <f t="shared" si="1"/>
        <v>0</v>
      </c>
    </row>
    <row r="9" spans="1:8" x14ac:dyDescent="0.3">
      <c r="B9" t="s">
        <v>935</v>
      </c>
      <c r="C9" t="s">
        <v>936</v>
      </c>
      <c r="D9" s="3">
        <v>32.5</v>
      </c>
      <c r="E9" s="4">
        <v>0.5</v>
      </c>
      <c r="F9" s="6">
        <f t="shared" si="0"/>
        <v>65</v>
      </c>
      <c r="G9" s="3">
        <f t="shared" si="1"/>
        <v>32.5</v>
      </c>
    </row>
    <row r="10" spans="1:8" x14ac:dyDescent="0.3">
      <c r="B10" t="s">
        <v>937</v>
      </c>
      <c r="C10" t="s">
        <v>938</v>
      </c>
      <c r="D10" s="3"/>
      <c r="E10" s="4">
        <v>0.5</v>
      </c>
      <c r="F10" s="6">
        <f t="shared" si="0"/>
        <v>0</v>
      </c>
      <c r="G10" s="3">
        <f t="shared" si="1"/>
        <v>0</v>
      </c>
    </row>
    <row r="11" spans="1:8" x14ac:dyDescent="0.3">
      <c r="B11" t="s">
        <v>939</v>
      </c>
      <c r="C11" t="s">
        <v>809</v>
      </c>
      <c r="D11" s="3"/>
      <c r="E11" s="4">
        <v>0.5</v>
      </c>
      <c r="F11" s="6">
        <f t="shared" si="0"/>
        <v>0</v>
      </c>
      <c r="G11" s="3">
        <f t="shared" si="1"/>
        <v>0</v>
      </c>
    </row>
    <row r="12" spans="1:8" x14ac:dyDescent="0.3">
      <c r="B12" t="s">
        <v>940</v>
      </c>
      <c r="C12" t="s">
        <v>941</v>
      </c>
      <c r="D12" s="3"/>
      <c r="E12" s="4">
        <v>0.5</v>
      </c>
      <c r="F12" s="6">
        <f t="shared" si="0"/>
        <v>0</v>
      </c>
      <c r="G12" s="3">
        <f t="shared" si="1"/>
        <v>0</v>
      </c>
    </row>
    <row r="13" spans="1:8" x14ac:dyDescent="0.3">
      <c r="B13" t="s">
        <v>942</v>
      </c>
      <c r="C13" t="s">
        <v>943</v>
      </c>
      <c r="D13" s="3"/>
      <c r="E13" s="4">
        <v>0.5</v>
      </c>
      <c r="F13" s="6">
        <f t="shared" si="0"/>
        <v>0</v>
      </c>
      <c r="G13" s="3">
        <f t="shared" si="1"/>
        <v>0</v>
      </c>
    </row>
    <row r="14" spans="1:8" x14ac:dyDescent="0.3">
      <c r="B14" t="s">
        <v>944</v>
      </c>
      <c r="C14" t="s">
        <v>945</v>
      </c>
      <c r="D14" s="3"/>
      <c r="E14" s="4">
        <v>0.5</v>
      </c>
      <c r="F14" s="6">
        <f t="shared" si="0"/>
        <v>0</v>
      </c>
      <c r="G14" s="3">
        <f t="shared" si="1"/>
        <v>0</v>
      </c>
    </row>
    <row r="15" spans="1:8" x14ac:dyDescent="0.3">
      <c r="B15" t="s">
        <v>1227</v>
      </c>
      <c r="C15" t="s">
        <v>1228</v>
      </c>
      <c r="D15" s="3">
        <v>35</v>
      </c>
      <c r="E15" s="4">
        <v>0.5</v>
      </c>
      <c r="F15" s="6">
        <f t="shared" si="0"/>
        <v>70</v>
      </c>
      <c r="G15" s="3">
        <f t="shared" si="1"/>
        <v>35</v>
      </c>
    </row>
    <row r="16" spans="1:8" x14ac:dyDescent="0.3">
      <c r="B16" t="s">
        <v>946</v>
      </c>
      <c r="C16" t="s">
        <v>947</v>
      </c>
      <c r="D16" s="3"/>
      <c r="E16" s="4">
        <v>0.5</v>
      </c>
      <c r="F16" s="6">
        <f t="shared" si="0"/>
        <v>0</v>
      </c>
      <c r="G16" s="3">
        <f t="shared" si="1"/>
        <v>0</v>
      </c>
    </row>
    <row r="17" spans="1:10" x14ac:dyDescent="0.3">
      <c r="B17" t="s">
        <v>1254</v>
      </c>
      <c r="C17" t="s">
        <v>1255</v>
      </c>
      <c r="D17" s="3"/>
      <c r="E17" s="4"/>
      <c r="F17" s="6">
        <f t="shared" si="0"/>
        <v>0</v>
      </c>
      <c r="G17" s="3">
        <f t="shared" si="1"/>
        <v>0</v>
      </c>
      <c r="H17" t="s">
        <v>1256</v>
      </c>
    </row>
    <row r="18" spans="1:10" x14ac:dyDescent="0.3">
      <c r="B18" t="s">
        <v>948</v>
      </c>
      <c r="C18" t="s">
        <v>949</v>
      </c>
      <c r="D18" s="3"/>
      <c r="E18" s="4">
        <v>0.5</v>
      </c>
      <c r="F18" s="6">
        <f t="shared" si="0"/>
        <v>0</v>
      </c>
      <c r="G18" s="3">
        <f t="shared" si="1"/>
        <v>0</v>
      </c>
    </row>
    <row r="19" spans="1:10" x14ac:dyDescent="0.3">
      <c r="B19" t="s">
        <v>1147</v>
      </c>
      <c r="C19" t="s">
        <v>1181</v>
      </c>
      <c r="D19">
        <v>55</v>
      </c>
      <c r="E19" s="4">
        <v>0.5</v>
      </c>
      <c r="F19" s="6">
        <f t="shared" si="0"/>
        <v>110</v>
      </c>
      <c r="G19" s="3">
        <f t="shared" si="1"/>
        <v>55</v>
      </c>
    </row>
    <row r="20" spans="1:10" x14ac:dyDescent="0.3">
      <c r="B20" t="s">
        <v>1148</v>
      </c>
      <c r="D20">
        <v>55</v>
      </c>
      <c r="E20" s="4">
        <v>0.5</v>
      </c>
      <c r="F20" s="6">
        <f t="shared" si="0"/>
        <v>110</v>
      </c>
      <c r="G20" s="3">
        <f t="shared" si="1"/>
        <v>55</v>
      </c>
    </row>
    <row r="21" spans="1:10" x14ac:dyDescent="0.3">
      <c r="B21" t="s">
        <v>1149</v>
      </c>
      <c r="C21" t="s">
        <v>1182</v>
      </c>
      <c r="D21">
        <v>55</v>
      </c>
      <c r="E21" s="4">
        <v>0.5</v>
      </c>
      <c r="F21" s="6">
        <f t="shared" si="0"/>
        <v>110</v>
      </c>
      <c r="G21" s="3">
        <f t="shared" si="1"/>
        <v>55</v>
      </c>
    </row>
    <row r="22" spans="1:10" x14ac:dyDescent="0.3">
      <c r="B22" t="s">
        <v>1150</v>
      </c>
      <c r="C22" t="s">
        <v>1382</v>
      </c>
      <c r="D22">
        <v>55</v>
      </c>
      <c r="E22" s="4">
        <v>0.5</v>
      </c>
      <c r="F22" s="6">
        <f t="shared" si="0"/>
        <v>110</v>
      </c>
      <c r="G22" s="3">
        <f t="shared" si="1"/>
        <v>55</v>
      </c>
    </row>
    <row r="23" spans="1:10" x14ac:dyDescent="0.3">
      <c r="B23" t="s">
        <v>1151</v>
      </c>
      <c r="C23" t="s">
        <v>1183</v>
      </c>
      <c r="D23">
        <v>55</v>
      </c>
      <c r="E23" s="4">
        <v>0.5</v>
      </c>
      <c r="F23" s="6">
        <f t="shared" si="0"/>
        <v>110</v>
      </c>
      <c r="G23" s="3">
        <f t="shared" si="1"/>
        <v>55</v>
      </c>
    </row>
    <row r="24" spans="1:10" x14ac:dyDescent="0.3">
      <c r="B24" t="s">
        <v>1152</v>
      </c>
      <c r="D24">
        <v>50</v>
      </c>
      <c r="E24" s="4">
        <v>0.5</v>
      </c>
      <c r="F24" s="6">
        <f t="shared" si="0"/>
        <v>100</v>
      </c>
      <c r="G24" s="3">
        <f t="shared" si="1"/>
        <v>50</v>
      </c>
    </row>
    <row r="25" spans="1:10" x14ac:dyDescent="0.3">
      <c r="C25" t="s">
        <v>1153</v>
      </c>
      <c r="D25">
        <v>55</v>
      </c>
      <c r="E25" s="4">
        <v>0.5</v>
      </c>
      <c r="F25" s="6">
        <f t="shared" si="0"/>
        <v>110</v>
      </c>
      <c r="G25" s="3">
        <f t="shared" si="1"/>
        <v>55</v>
      </c>
    </row>
    <row r="26" spans="1:10" x14ac:dyDescent="0.3">
      <c r="B26" t="s">
        <v>1154</v>
      </c>
      <c r="C26" t="s">
        <v>1168</v>
      </c>
      <c r="D26">
        <v>85</v>
      </c>
      <c r="E26" s="4">
        <v>0.5</v>
      </c>
      <c r="F26" s="6">
        <f t="shared" si="0"/>
        <v>170</v>
      </c>
      <c r="G26" s="3">
        <f t="shared" si="1"/>
        <v>85</v>
      </c>
    </row>
    <row r="27" spans="1:10" x14ac:dyDescent="0.3">
      <c r="B27" t="s">
        <v>1264</v>
      </c>
      <c r="C27" t="s">
        <v>1265</v>
      </c>
      <c r="E27" s="4">
        <v>0.5</v>
      </c>
      <c r="F27" s="6">
        <f>D27/(1-E27)</f>
        <v>0</v>
      </c>
      <c r="G27" s="3">
        <f t="shared" ref="G27:G43" si="2">F27-D27</f>
        <v>0</v>
      </c>
    </row>
    <row r="28" spans="1:10" x14ac:dyDescent="0.3">
      <c r="C28" t="s">
        <v>1286</v>
      </c>
      <c r="E28" s="4">
        <v>0.5</v>
      </c>
      <c r="F28" s="6">
        <f t="shared" ref="F28:F29" si="3">D28/(1-E28)</f>
        <v>0</v>
      </c>
      <c r="G28" s="3">
        <f t="shared" si="2"/>
        <v>0</v>
      </c>
    </row>
    <row r="29" spans="1:10" x14ac:dyDescent="0.3">
      <c r="A29">
        <v>3</v>
      </c>
      <c r="B29" t="s">
        <v>1454</v>
      </c>
      <c r="C29" t="s">
        <v>1456</v>
      </c>
      <c r="D29">
        <v>57.12</v>
      </c>
      <c r="E29" s="4">
        <v>0.3</v>
      </c>
      <c r="F29" s="6">
        <f t="shared" si="3"/>
        <v>81.600000000000009</v>
      </c>
      <c r="G29" s="3">
        <f t="shared" si="2"/>
        <v>24.480000000000011</v>
      </c>
      <c r="H29" t="s">
        <v>1455</v>
      </c>
      <c r="J29">
        <v>85</v>
      </c>
    </row>
    <row r="30" spans="1:10" x14ac:dyDescent="0.3">
      <c r="A30">
        <v>1</v>
      </c>
      <c r="B30" t="s">
        <v>1300</v>
      </c>
      <c r="C30" t="s">
        <v>1453</v>
      </c>
      <c r="D30">
        <v>50</v>
      </c>
      <c r="E30" s="4">
        <v>0.3</v>
      </c>
      <c r="F30" s="6">
        <f t="shared" ref="F30:F44" si="4">D30/(1-E30)</f>
        <v>71.428571428571431</v>
      </c>
      <c r="G30" s="3">
        <f t="shared" si="2"/>
        <v>21.428571428571431</v>
      </c>
      <c r="H30" t="s">
        <v>1233</v>
      </c>
      <c r="J30" s="2">
        <v>75</v>
      </c>
    </row>
    <row r="31" spans="1:10" x14ac:dyDescent="0.3">
      <c r="B31" t="s">
        <v>1418</v>
      </c>
      <c r="C31" t="s">
        <v>1419</v>
      </c>
      <c r="E31" s="4">
        <v>0.5</v>
      </c>
      <c r="F31" s="6">
        <f t="shared" si="4"/>
        <v>0</v>
      </c>
      <c r="G31" s="3">
        <f t="shared" si="2"/>
        <v>0</v>
      </c>
    </row>
    <row r="32" spans="1:10" x14ac:dyDescent="0.3">
      <c r="B32" t="s">
        <v>1420</v>
      </c>
      <c r="C32" t="s">
        <v>1421</v>
      </c>
      <c r="E32" s="4">
        <v>0.5</v>
      </c>
      <c r="F32" s="6">
        <f t="shared" si="4"/>
        <v>0</v>
      </c>
      <c r="G32" s="3">
        <f t="shared" si="2"/>
        <v>0</v>
      </c>
    </row>
    <row r="33" spans="5:7" x14ac:dyDescent="0.3">
      <c r="E33" s="4">
        <v>0.5</v>
      </c>
      <c r="F33" s="6">
        <f t="shared" si="4"/>
        <v>0</v>
      </c>
      <c r="G33" s="3">
        <f t="shared" si="2"/>
        <v>0</v>
      </c>
    </row>
    <row r="34" spans="5:7" x14ac:dyDescent="0.3">
      <c r="E34" s="4">
        <v>0.5</v>
      </c>
      <c r="F34" s="6">
        <f t="shared" si="4"/>
        <v>0</v>
      </c>
      <c r="G34" s="3">
        <f t="shared" si="2"/>
        <v>0</v>
      </c>
    </row>
    <row r="35" spans="5:7" x14ac:dyDescent="0.3">
      <c r="E35" s="4">
        <v>0.5</v>
      </c>
      <c r="F35" s="6">
        <f t="shared" si="4"/>
        <v>0</v>
      </c>
      <c r="G35" s="3">
        <f t="shared" si="2"/>
        <v>0</v>
      </c>
    </row>
    <row r="36" spans="5:7" x14ac:dyDescent="0.3">
      <c r="E36" s="4">
        <v>0.5</v>
      </c>
      <c r="F36" s="6">
        <f t="shared" si="4"/>
        <v>0</v>
      </c>
      <c r="G36" s="3">
        <f t="shared" si="2"/>
        <v>0</v>
      </c>
    </row>
    <row r="37" spans="5:7" x14ac:dyDescent="0.3">
      <c r="E37" s="4">
        <v>0.5</v>
      </c>
      <c r="F37" s="6">
        <f t="shared" si="4"/>
        <v>0</v>
      </c>
      <c r="G37" s="3">
        <f t="shared" si="2"/>
        <v>0</v>
      </c>
    </row>
    <row r="38" spans="5:7" x14ac:dyDescent="0.3">
      <c r="E38" s="4">
        <v>0.5</v>
      </c>
      <c r="F38" s="6">
        <f t="shared" si="4"/>
        <v>0</v>
      </c>
      <c r="G38" s="3">
        <f t="shared" si="2"/>
        <v>0</v>
      </c>
    </row>
    <row r="39" spans="5:7" x14ac:dyDescent="0.3">
      <c r="E39" s="4">
        <v>0.5</v>
      </c>
      <c r="F39" s="6">
        <f t="shared" si="4"/>
        <v>0</v>
      </c>
      <c r="G39" s="3">
        <f t="shared" si="2"/>
        <v>0</v>
      </c>
    </row>
    <row r="40" spans="5:7" x14ac:dyDescent="0.3">
      <c r="E40" s="4">
        <v>0.5</v>
      </c>
      <c r="F40" s="6">
        <f t="shared" si="4"/>
        <v>0</v>
      </c>
      <c r="G40" s="3">
        <f t="shared" si="2"/>
        <v>0</v>
      </c>
    </row>
    <row r="41" spans="5:7" x14ac:dyDescent="0.3">
      <c r="E41" s="4">
        <v>0.5</v>
      </c>
      <c r="F41" s="6">
        <f t="shared" si="4"/>
        <v>0</v>
      </c>
      <c r="G41" s="3">
        <f t="shared" si="2"/>
        <v>0</v>
      </c>
    </row>
    <row r="42" spans="5:7" x14ac:dyDescent="0.3">
      <c r="E42" s="4">
        <v>0.5</v>
      </c>
      <c r="F42" s="6">
        <f t="shared" si="4"/>
        <v>0</v>
      </c>
      <c r="G42" s="3">
        <f t="shared" si="2"/>
        <v>0</v>
      </c>
    </row>
    <row r="43" spans="5:7" x14ac:dyDescent="0.3">
      <c r="E43" s="4">
        <v>0.5</v>
      </c>
      <c r="F43" s="6">
        <f t="shared" si="4"/>
        <v>0</v>
      </c>
      <c r="G43" s="3">
        <f t="shared" si="2"/>
        <v>0</v>
      </c>
    </row>
    <row r="44" spans="5:7" x14ac:dyDescent="0.3">
      <c r="F44" s="6">
        <f t="shared" si="4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6147-7843-4966-AB96-A994183C524B}">
  <dimension ref="A1:M265"/>
  <sheetViews>
    <sheetView topLeftCell="A6" zoomScaleNormal="100" workbookViewId="0">
      <selection activeCell="L13" sqref="L13"/>
    </sheetView>
  </sheetViews>
  <sheetFormatPr baseColWidth="10" defaultColWidth="11.5" defaultRowHeight="16.5" x14ac:dyDescent="0.3"/>
  <cols>
    <col min="1" max="2" width="11.5" style="1"/>
    <col min="3" max="3" width="57.75" style="1" customWidth="1"/>
    <col min="4" max="4" width="11.5" style="1" customWidth="1"/>
    <col min="5" max="5" width="4.5" style="1" customWidth="1"/>
    <col min="6" max="6" width="11.5" style="16"/>
    <col min="7" max="7" width="11.5" style="17"/>
    <col min="8" max="8" width="11.5" style="1"/>
    <col min="9" max="9" width="4.375" style="1" customWidth="1"/>
    <col min="10" max="10" width="11.5" style="16"/>
    <col min="11" max="11" width="11.5" style="17"/>
    <col min="12" max="12" width="11.5" style="1"/>
    <col min="13" max="13" width="11.5" style="17"/>
    <col min="14" max="16384" width="11.5" style="1"/>
  </cols>
  <sheetData>
    <row r="1" spans="1:13" x14ac:dyDescent="0.3">
      <c r="A1" s="1" t="s">
        <v>496</v>
      </c>
      <c r="B1" s="1" t="s">
        <v>126</v>
      </c>
      <c r="C1" s="1" t="s">
        <v>125</v>
      </c>
      <c r="D1" s="11" t="s">
        <v>750</v>
      </c>
      <c r="E1" s="12">
        <v>0.3</v>
      </c>
      <c r="F1" s="13" t="s">
        <v>503</v>
      </c>
      <c r="G1" s="14" t="s">
        <v>751</v>
      </c>
      <c r="H1" s="11" t="s">
        <v>750</v>
      </c>
      <c r="I1" s="15">
        <v>0.3</v>
      </c>
      <c r="J1" s="13" t="s">
        <v>640</v>
      </c>
      <c r="K1" s="14" t="s">
        <v>752</v>
      </c>
      <c r="L1" s="11" t="s">
        <v>505</v>
      </c>
      <c r="M1" s="17" t="s">
        <v>506</v>
      </c>
    </row>
    <row r="2" spans="1:13" x14ac:dyDescent="0.3">
      <c r="B2" s="1" t="s">
        <v>0</v>
      </c>
      <c r="C2" s="1" t="s">
        <v>276</v>
      </c>
      <c r="D2" s="18"/>
      <c r="E2" s="12">
        <v>0.3</v>
      </c>
      <c r="F2" s="19">
        <f>D2/(1-E2)</f>
        <v>0</v>
      </c>
      <c r="G2" s="20">
        <f>F2-D2</f>
        <v>0</v>
      </c>
      <c r="H2" s="18"/>
      <c r="I2" s="15">
        <v>0.3</v>
      </c>
      <c r="J2" s="21">
        <f>H2/(1-I2)</f>
        <v>0</v>
      </c>
      <c r="K2" s="20">
        <f>J2-H2</f>
        <v>0</v>
      </c>
    </row>
    <row r="3" spans="1:13" x14ac:dyDescent="0.3">
      <c r="B3" s="1" t="s">
        <v>1</v>
      </c>
      <c r="C3" s="1" t="s">
        <v>277</v>
      </c>
      <c r="D3" s="18"/>
      <c r="E3" s="12">
        <v>0.3</v>
      </c>
      <c r="F3" s="19">
        <f t="shared" ref="F3:F67" si="0">D3/(1-E3)</f>
        <v>0</v>
      </c>
      <c r="G3" s="20">
        <f t="shared" ref="G3:G67" si="1">F3-D3</f>
        <v>0</v>
      </c>
      <c r="H3" s="18"/>
      <c r="I3" s="15">
        <v>0.3</v>
      </c>
      <c r="J3" s="21">
        <f t="shared" ref="J3:J67" si="2">H3/(1-I3)</f>
        <v>0</v>
      </c>
      <c r="K3" s="20">
        <f t="shared" ref="K3:K67" si="3">J3-H3</f>
        <v>0</v>
      </c>
    </row>
    <row r="4" spans="1:13" x14ac:dyDescent="0.3">
      <c r="B4" s="1" t="s">
        <v>2</v>
      </c>
      <c r="C4" s="1" t="s">
        <v>278</v>
      </c>
      <c r="D4" s="18"/>
      <c r="E4" s="12">
        <v>0.3</v>
      </c>
      <c r="F4" s="19">
        <f t="shared" si="0"/>
        <v>0</v>
      </c>
      <c r="G4" s="20">
        <f t="shared" si="1"/>
        <v>0</v>
      </c>
      <c r="H4" s="18"/>
      <c r="I4" s="15">
        <v>0.3</v>
      </c>
      <c r="J4" s="21">
        <f t="shared" si="2"/>
        <v>0</v>
      </c>
      <c r="K4" s="20">
        <f t="shared" si="3"/>
        <v>0</v>
      </c>
    </row>
    <row r="5" spans="1:13" x14ac:dyDescent="0.3">
      <c r="B5" s="1" t="s">
        <v>14</v>
      </c>
      <c r="C5" s="1" t="s">
        <v>279</v>
      </c>
      <c r="D5" s="18"/>
      <c r="E5" s="12">
        <v>0.3</v>
      </c>
      <c r="F5" s="19">
        <f t="shared" si="0"/>
        <v>0</v>
      </c>
      <c r="G5" s="20">
        <f t="shared" si="1"/>
        <v>0</v>
      </c>
      <c r="H5" s="18"/>
      <c r="I5" s="15">
        <v>0.3</v>
      </c>
      <c r="J5" s="21">
        <f t="shared" si="2"/>
        <v>0</v>
      </c>
      <c r="K5" s="20">
        <f t="shared" si="3"/>
        <v>0</v>
      </c>
    </row>
    <row r="6" spans="1:13" x14ac:dyDescent="0.3">
      <c r="B6" s="1" t="s">
        <v>15</v>
      </c>
      <c r="C6" s="1" t="s">
        <v>280</v>
      </c>
      <c r="D6" s="18"/>
      <c r="E6" s="12">
        <v>0.3</v>
      </c>
      <c r="F6" s="19">
        <f t="shared" si="0"/>
        <v>0</v>
      </c>
      <c r="G6" s="20">
        <f t="shared" si="1"/>
        <v>0</v>
      </c>
      <c r="H6" s="18"/>
      <c r="I6" s="15">
        <v>0.3</v>
      </c>
      <c r="J6" s="21">
        <f t="shared" si="2"/>
        <v>0</v>
      </c>
      <c r="K6" s="20">
        <f t="shared" si="3"/>
        <v>0</v>
      </c>
    </row>
    <row r="7" spans="1:13" x14ac:dyDescent="0.3">
      <c r="B7" s="1" t="s">
        <v>16</v>
      </c>
      <c r="C7" s="1" t="s">
        <v>274</v>
      </c>
      <c r="D7" s="18"/>
      <c r="E7" s="12">
        <v>0.3</v>
      </c>
      <c r="F7" s="19">
        <f t="shared" si="0"/>
        <v>0</v>
      </c>
      <c r="G7" s="20">
        <f t="shared" si="1"/>
        <v>0</v>
      </c>
      <c r="H7" s="18"/>
      <c r="I7" s="15">
        <v>0.3</v>
      </c>
      <c r="J7" s="21">
        <f t="shared" si="2"/>
        <v>0</v>
      </c>
      <c r="K7" s="20">
        <f t="shared" si="3"/>
        <v>0</v>
      </c>
    </row>
    <row r="8" spans="1:13" x14ac:dyDescent="0.3">
      <c r="B8" s="1" t="s">
        <v>17</v>
      </c>
      <c r="C8" s="1" t="s">
        <v>495</v>
      </c>
      <c r="D8" s="18"/>
      <c r="E8" s="12">
        <v>0.3</v>
      </c>
      <c r="F8" s="19">
        <f t="shared" si="0"/>
        <v>0</v>
      </c>
      <c r="G8" s="20">
        <f t="shared" si="1"/>
        <v>0</v>
      </c>
      <c r="H8" s="18"/>
      <c r="I8" s="15">
        <v>0.3</v>
      </c>
      <c r="J8" s="21">
        <f t="shared" si="2"/>
        <v>0</v>
      </c>
      <c r="K8" s="20">
        <f t="shared" si="3"/>
        <v>0</v>
      </c>
    </row>
    <row r="9" spans="1:13" x14ac:dyDescent="0.3">
      <c r="B9" s="1" t="s">
        <v>10</v>
      </c>
      <c r="C9" s="1" t="s">
        <v>281</v>
      </c>
      <c r="D9" s="18"/>
      <c r="E9" s="12">
        <v>0.3</v>
      </c>
      <c r="F9" s="19">
        <f t="shared" si="0"/>
        <v>0</v>
      </c>
      <c r="G9" s="20">
        <f t="shared" si="1"/>
        <v>0</v>
      </c>
      <c r="H9" s="18"/>
      <c r="I9" s="15">
        <v>0.3</v>
      </c>
      <c r="J9" s="21">
        <f t="shared" si="2"/>
        <v>0</v>
      </c>
      <c r="K9" s="20">
        <f t="shared" si="3"/>
        <v>0</v>
      </c>
    </row>
    <row r="10" spans="1:13" x14ac:dyDescent="0.3">
      <c r="B10" s="1" t="s">
        <v>11</v>
      </c>
      <c r="C10" s="1" t="s">
        <v>282</v>
      </c>
      <c r="D10" s="18"/>
      <c r="E10" s="12">
        <v>0.3</v>
      </c>
      <c r="F10" s="19">
        <f t="shared" si="0"/>
        <v>0</v>
      </c>
      <c r="G10" s="20">
        <f t="shared" si="1"/>
        <v>0</v>
      </c>
      <c r="H10" s="18"/>
      <c r="I10" s="15">
        <v>0.3</v>
      </c>
      <c r="J10" s="21">
        <f t="shared" si="2"/>
        <v>0</v>
      </c>
      <c r="K10" s="20">
        <f t="shared" si="3"/>
        <v>0</v>
      </c>
    </row>
    <row r="11" spans="1:13" x14ac:dyDescent="0.3">
      <c r="B11" s="1" t="s">
        <v>12</v>
      </c>
      <c r="C11" s="1" t="s">
        <v>283</v>
      </c>
      <c r="D11" s="18"/>
      <c r="E11" s="12">
        <v>0.3</v>
      </c>
      <c r="F11" s="19">
        <f t="shared" si="0"/>
        <v>0</v>
      </c>
      <c r="G11" s="20">
        <f t="shared" si="1"/>
        <v>0</v>
      </c>
      <c r="H11" s="18"/>
      <c r="I11" s="15">
        <v>0.3</v>
      </c>
      <c r="J11" s="21">
        <f t="shared" si="2"/>
        <v>0</v>
      </c>
      <c r="K11" s="20">
        <f t="shared" si="3"/>
        <v>0</v>
      </c>
    </row>
    <row r="12" spans="1:13" x14ac:dyDescent="0.3">
      <c r="B12" s="1" t="s">
        <v>13</v>
      </c>
      <c r="C12" s="1" t="s">
        <v>284</v>
      </c>
      <c r="D12" s="18"/>
      <c r="E12" s="12">
        <v>0.3</v>
      </c>
      <c r="F12" s="19">
        <f t="shared" si="0"/>
        <v>0</v>
      </c>
      <c r="G12" s="20">
        <f t="shared" si="1"/>
        <v>0</v>
      </c>
      <c r="H12" s="18"/>
      <c r="I12" s="15">
        <v>0.3</v>
      </c>
      <c r="J12" s="21">
        <f t="shared" si="2"/>
        <v>0</v>
      </c>
      <c r="K12" s="20">
        <f t="shared" si="3"/>
        <v>0</v>
      </c>
    </row>
    <row r="13" spans="1:13" x14ac:dyDescent="0.3">
      <c r="B13" s="1" t="s">
        <v>7</v>
      </c>
      <c r="C13" s="1" t="s">
        <v>285</v>
      </c>
      <c r="D13" s="18"/>
      <c r="E13" s="12">
        <v>0.3</v>
      </c>
      <c r="F13" s="19">
        <f t="shared" si="0"/>
        <v>0</v>
      </c>
      <c r="G13" s="20">
        <f t="shared" si="1"/>
        <v>0</v>
      </c>
      <c r="H13" s="18"/>
      <c r="I13" s="15">
        <v>0.3</v>
      </c>
      <c r="J13" s="21">
        <f t="shared" si="2"/>
        <v>0</v>
      </c>
      <c r="K13" s="20">
        <f t="shared" si="3"/>
        <v>0</v>
      </c>
    </row>
    <row r="14" spans="1:13" x14ac:dyDescent="0.3">
      <c r="B14" s="1" t="s">
        <v>8</v>
      </c>
      <c r="C14" s="1" t="s">
        <v>286</v>
      </c>
      <c r="D14" s="18"/>
      <c r="E14" s="12">
        <v>0.3</v>
      </c>
      <c r="F14" s="19">
        <f t="shared" si="0"/>
        <v>0</v>
      </c>
      <c r="G14" s="20">
        <f t="shared" si="1"/>
        <v>0</v>
      </c>
      <c r="H14" s="18"/>
      <c r="I14" s="15">
        <v>0.3</v>
      </c>
      <c r="J14" s="21">
        <f t="shared" si="2"/>
        <v>0</v>
      </c>
      <c r="K14" s="20">
        <f t="shared" si="3"/>
        <v>0</v>
      </c>
    </row>
    <row r="15" spans="1:13" x14ac:dyDescent="0.3">
      <c r="B15" s="1" t="s">
        <v>9</v>
      </c>
      <c r="C15" s="1" t="s">
        <v>287</v>
      </c>
      <c r="D15" s="18"/>
      <c r="E15" s="12">
        <v>0.3</v>
      </c>
      <c r="F15" s="19">
        <f t="shared" si="0"/>
        <v>0</v>
      </c>
      <c r="G15" s="20">
        <f t="shared" si="1"/>
        <v>0</v>
      </c>
      <c r="H15" s="18"/>
      <c r="I15" s="15">
        <v>0.3</v>
      </c>
      <c r="J15" s="21">
        <f t="shared" si="2"/>
        <v>0</v>
      </c>
      <c r="K15" s="20">
        <f t="shared" si="3"/>
        <v>0</v>
      </c>
    </row>
    <row r="16" spans="1:13" x14ac:dyDescent="0.3">
      <c r="B16" s="1" t="s">
        <v>3</v>
      </c>
      <c r="C16" s="1" t="s">
        <v>288</v>
      </c>
      <c r="D16" s="18"/>
      <c r="E16" s="12">
        <v>0.3</v>
      </c>
      <c r="F16" s="19">
        <f t="shared" si="0"/>
        <v>0</v>
      </c>
      <c r="G16" s="20">
        <f t="shared" si="1"/>
        <v>0</v>
      </c>
      <c r="H16" s="18"/>
      <c r="I16" s="15">
        <v>0.3</v>
      </c>
      <c r="J16" s="21">
        <f t="shared" si="2"/>
        <v>0</v>
      </c>
      <c r="K16" s="20">
        <f t="shared" si="3"/>
        <v>0</v>
      </c>
    </row>
    <row r="17" spans="1:11" x14ac:dyDescent="0.3">
      <c r="B17" s="1" t="s">
        <v>4</v>
      </c>
      <c r="C17" s="1" t="s">
        <v>289</v>
      </c>
      <c r="D17" s="18"/>
      <c r="E17" s="12">
        <v>0.3</v>
      </c>
      <c r="F17" s="19">
        <f t="shared" si="0"/>
        <v>0</v>
      </c>
      <c r="G17" s="20">
        <f t="shared" si="1"/>
        <v>0</v>
      </c>
      <c r="H17" s="18"/>
      <c r="I17" s="15">
        <v>0.3</v>
      </c>
      <c r="J17" s="21">
        <f t="shared" si="2"/>
        <v>0</v>
      </c>
      <c r="K17" s="20">
        <f t="shared" si="3"/>
        <v>0</v>
      </c>
    </row>
    <row r="18" spans="1:11" x14ac:dyDescent="0.3">
      <c r="B18" s="1" t="s">
        <v>5</v>
      </c>
      <c r="C18" s="1" t="s">
        <v>290</v>
      </c>
      <c r="D18" s="18">
        <v>69</v>
      </c>
      <c r="E18" s="12">
        <v>0.3</v>
      </c>
      <c r="F18" s="19">
        <f t="shared" si="0"/>
        <v>98.571428571428584</v>
      </c>
      <c r="G18" s="20">
        <f t="shared" si="1"/>
        <v>29.571428571428584</v>
      </c>
      <c r="H18" s="18"/>
      <c r="I18" s="15">
        <v>0.3</v>
      </c>
      <c r="J18" s="21">
        <f t="shared" si="2"/>
        <v>0</v>
      </c>
      <c r="K18" s="20">
        <f t="shared" si="3"/>
        <v>0</v>
      </c>
    </row>
    <row r="19" spans="1:11" x14ac:dyDescent="0.3">
      <c r="B19" s="1" t="s">
        <v>6</v>
      </c>
      <c r="C19" s="1" t="s">
        <v>291</v>
      </c>
      <c r="D19" s="18"/>
      <c r="E19" s="12">
        <v>0.3</v>
      </c>
      <c r="F19" s="19">
        <f t="shared" si="0"/>
        <v>0</v>
      </c>
      <c r="G19" s="20">
        <f t="shared" si="1"/>
        <v>0</v>
      </c>
      <c r="H19" s="18"/>
      <c r="I19" s="15">
        <v>0.3</v>
      </c>
      <c r="J19" s="21">
        <f t="shared" si="2"/>
        <v>0</v>
      </c>
      <c r="K19" s="20">
        <f t="shared" si="3"/>
        <v>0</v>
      </c>
    </row>
    <row r="20" spans="1:11" x14ac:dyDescent="0.3">
      <c r="B20" s="1" t="s">
        <v>30</v>
      </c>
      <c r="C20" s="1" t="s">
        <v>292</v>
      </c>
      <c r="D20" s="18"/>
      <c r="E20" s="12">
        <v>0.3</v>
      </c>
      <c r="F20" s="19">
        <f t="shared" si="0"/>
        <v>0</v>
      </c>
      <c r="G20" s="20">
        <f t="shared" si="1"/>
        <v>0</v>
      </c>
      <c r="H20" s="18"/>
      <c r="I20" s="15">
        <v>0.3</v>
      </c>
      <c r="J20" s="21">
        <f t="shared" si="2"/>
        <v>0</v>
      </c>
      <c r="K20" s="20">
        <f t="shared" si="3"/>
        <v>0</v>
      </c>
    </row>
    <row r="21" spans="1:11" x14ac:dyDescent="0.3">
      <c r="B21" s="1" t="s">
        <v>31</v>
      </c>
      <c r="C21" s="1" t="s">
        <v>293</v>
      </c>
      <c r="D21" s="18">
        <v>70</v>
      </c>
      <c r="E21" s="12">
        <v>0.3</v>
      </c>
      <c r="F21" s="19">
        <v>60</v>
      </c>
      <c r="G21" s="20">
        <f t="shared" si="1"/>
        <v>-10</v>
      </c>
      <c r="H21" s="18">
        <v>80</v>
      </c>
      <c r="I21" s="15">
        <v>0.3</v>
      </c>
      <c r="J21" s="21">
        <f t="shared" si="2"/>
        <v>114.28571428571429</v>
      </c>
      <c r="K21" s="20">
        <f t="shared" si="3"/>
        <v>34.285714285714292</v>
      </c>
    </row>
    <row r="22" spans="1:11" x14ac:dyDescent="0.3">
      <c r="B22" s="1" t="s">
        <v>32</v>
      </c>
      <c r="C22" s="1" t="s">
        <v>294</v>
      </c>
      <c r="D22" s="18">
        <v>70</v>
      </c>
      <c r="E22" s="12">
        <v>0.3</v>
      </c>
      <c r="F22" s="19">
        <f t="shared" si="0"/>
        <v>100</v>
      </c>
      <c r="G22" s="20">
        <f t="shared" si="1"/>
        <v>30</v>
      </c>
      <c r="H22" s="18">
        <v>80</v>
      </c>
      <c r="I22" s="15">
        <v>0.3</v>
      </c>
      <c r="J22" s="21">
        <f t="shared" si="2"/>
        <v>114.28571428571429</v>
      </c>
      <c r="K22" s="20">
        <f t="shared" si="3"/>
        <v>34.285714285714292</v>
      </c>
    </row>
    <row r="23" spans="1:11" x14ac:dyDescent="0.3">
      <c r="B23" s="1" t="s">
        <v>26</v>
      </c>
      <c r="C23" s="1" t="s">
        <v>295</v>
      </c>
      <c r="D23" s="18"/>
      <c r="E23" s="12">
        <v>0.3</v>
      </c>
      <c r="F23" s="19">
        <f t="shared" si="0"/>
        <v>0</v>
      </c>
      <c r="G23" s="20">
        <f t="shared" si="1"/>
        <v>0</v>
      </c>
      <c r="H23" s="18"/>
      <c r="I23" s="15">
        <v>0.3</v>
      </c>
      <c r="J23" s="21">
        <f t="shared" si="2"/>
        <v>0</v>
      </c>
      <c r="K23" s="20">
        <f t="shared" si="3"/>
        <v>0</v>
      </c>
    </row>
    <row r="24" spans="1:11" x14ac:dyDescent="0.3">
      <c r="B24" s="1" t="s">
        <v>27</v>
      </c>
      <c r="C24" s="1" t="s">
        <v>295</v>
      </c>
      <c r="D24" s="18"/>
      <c r="E24" s="12">
        <v>0.3</v>
      </c>
      <c r="F24" s="19">
        <f t="shared" si="0"/>
        <v>0</v>
      </c>
      <c r="G24" s="20">
        <f t="shared" si="1"/>
        <v>0</v>
      </c>
      <c r="H24" s="18"/>
      <c r="I24" s="15">
        <v>0.3</v>
      </c>
      <c r="J24" s="21">
        <f t="shared" si="2"/>
        <v>0</v>
      </c>
      <c r="K24" s="20">
        <f t="shared" si="3"/>
        <v>0</v>
      </c>
    </row>
    <row r="25" spans="1:11" x14ac:dyDescent="0.3">
      <c r="B25" s="1" t="s">
        <v>28</v>
      </c>
      <c r="C25" s="1" t="s">
        <v>290</v>
      </c>
      <c r="D25" s="18">
        <v>70</v>
      </c>
      <c r="E25" s="12">
        <v>0.3</v>
      </c>
      <c r="F25" s="19">
        <f t="shared" si="0"/>
        <v>100</v>
      </c>
      <c r="G25" s="20">
        <f t="shared" si="1"/>
        <v>30</v>
      </c>
      <c r="H25" s="18">
        <v>81</v>
      </c>
      <c r="I25" s="15">
        <v>0.3</v>
      </c>
      <c r="J25" s="21">
        <f t="shared" si="2"/>
        <v>115.71428571428572</v>
      </c>
      <c r="K25" s="20">
        <f t="shared" si="3"/>
        <v>34.714285714285722</v>
      </c>
    </row>
    <row r="26" spans="1:11" x14ac:dyDescent="0.3">
      <c r="B26" s="1" t="s">
        <v>29</v>
      </c>
      <c r="C26" s="1" t="s">
        <v>296</v>
      </c>
      <c r="D26" s="18"/>
      <c r="E26" s="12">
        <v>0.3</v>
      </c>
      <c r="F26" s="19">
        <f t="shared" si="0"/>
        <v>0</v>
      </c>
      <c r="G26" s="20">
        <f t="shared" si="1"/>
        <v>0</v>
      </c>
      <c r="H26" s="18"/>
      <c r="I26" s="15">
        <v>0.3</v>
      </c>
      <c r="J26" s="21">
        <f t="shared" si="2"/>
        <v>0</v>
      </c>
      <c r="K26" s="20">
        <f t="shared" si="3"/>
        <v>0</v>
      </c>
    </row>
    <row r="27" spans="1:11" x14ac:dyDescent="0.3">
      <c r="B27" s="1" t="s">
        <v>22</v>
      </c>
      <c r="C27" s="1" t="s">
        <v>297</v>
      </c>
      <c r="D27" s="18"/>
      <c r="E27" s="12">
        <v>0.3</v>
      </c>
      <c r="F27" s="19">
        <f t="shared" si="0"/>
        <v>0</v>
      </c>
      <c r="G27" s="20">
        <f t="shared" si="1"/>
        <v>0</v>
      </c>
      <c r="H27" s="18"/>
      <c r="I27" s="15">
        <v>0.3</v>
      </c>
      <c r="J27" s="21">
        <f t="shared" si="2"/>
        <v>0</v>
      </c>
      <c r="K27" s="20">
        <f t="shared" si="3"/>
        <v>0</v>
      </c>
    </row>
    <row r="28" spans="1:11" x14ac:dyDescent="0.3">
      <c r="B28" s="1" t="s">
        <v>23</v>
      </c>
      <c r="C28" s="1" t="s">
        <v>298</v>
      </c>
      <c r="D28" s="18"/>
      <c r="E28" s="12">
        <v>0.3</v>
      </c>
      <c r="F28" s="19">
        <f t="shared" si="0"/>
        <v>0</v>
      </c>
      <c r="G28" s="20">
        <f t="shared" si="1"/>
        <v>0</v>
      </c>
      <c r="H28" s="18"/>
      <c r="I28" s="15">
        <v>0.3</v>
      </c>
      <c r="J28" s="21">
        <f t="shared" si="2"/>
        <v>0</v>
      </c>
      <c r="K28" s="20">
        <f t="shared" si="3"/>
        <v>0</v>
      </c>
    </row>
    <row r="29" spans="1:11" x14ac:dyDescent="0.3">
      <c r="A29" s="1">
        <v>3</v>
      </c>
      <c r="B29" s="1" t="s">
        <v>24</v>
      </c>
      <c r="C29" s="1" t="s">
        <v>299</v>
      </c>
      <c r="D29" s="18">
        <v>80</v>
      </c>
      <c r="E29" s="12">
        <v>0.3</v>
      </c>
      <c r="F29" s="19">
        <f t="shared" si="0"/>
        <v>114.28571428571429</v>
      </c>
      <c r="G29" s="20">
        <f t="shared" si="1"/>
        <v>34.285714285714292</v>
      </c>
      <c r="H29" s="18">
        <v>90</v>
      </c>
      <c r="I29" s="15">
        <v>0.3</v>
      </c>
      <c r="J29" s="21">
        <f t="shared" si="2"/>
        <v>128.57142857142858</v>
      </c>
      <c r="K29" s="20">
        <f t="shared" si="3"/>
        <v>38.571428571428584</v>
      </c>
    </row>
    <row r="30" spans="1:11" x14ac:dyDescent="0.3">
      <c r="B30" s="1" t="s">
        <v>25</v>
      </c>
      <c r="C30" s="1" t="s">
        <v>300</v>
      </c>
      <c r="D30" s="18">
        <v>77</v>
      </c>
      <c r="E30" s="12">
        <v>0.3</v>
      </c>
      <c r="F30" s="19">
        <f t="shared" si="0"/>
        <v>110</v>
      </c>
      <c r="G30" s="20">
        <f t="shared" si="1"/>
        <v>33</v>
      </c>
      <c r="H30" s="18">
        <v>89</v>
      </c>
      <c r="I30" s="15">
        <v>0.3</v>
      </c>
      <c r="J30" s="21">
        <f t="shared" si="2"/>
        <v>127.14285714285715</v>
      </c>
      <c r="K30" s="20">
        <f t="shared" si="3"/>
        <v>38.142857142857153</v>
      </c>
    </row>
    <row r="31" spans="1:11" x14ac:dyDescent="0.3">
      <c r="B31" s="1" t="s">
        <v>18</v>
      </c>
      <c r="C31" s="1" t="s">
        <v>301</v>
      </c>
      <c r="D31" s="18"/>
      <c r="E31" s="12">
        <v>0.3</v>
      </c>
      <c r="F31" s="19">
        <f t="shared" si="0"/>
        <v>0</v>
      </c>
      <c r="G31" s="20">
        <f t="shared" si="1"/>
        <v>0</v>
      </c>
      <c r="H31" s="18"/>
      <c r="I31" s="15">
        <v>0.3</v>
      </c>
      <c r="J31" s="21">
        <f t="shared" si="2"/>
        <v>0</v>
      </c>
      <c r="K31" s="20">
        <f t="shared" si="3"/>
        <v>0</v>
      </c>
    </row>
    <row r="32" spans="1:11" x14ac:dyDescent="0.3">
      <c r="B32" s="1" t="s">
        <v>19</v>
      </c>
      <c r="C32" s="1" t="s">
        <v>302</v>
      </c>
      <c r="D32" s="18"/>
      <c r="E32" s="12">
        <v>0.3</v>
      </c>
      <c r="F32" s="19">
        <f t="shared" si="0"/>
        <v>0</v>
      </c>
      <c r="G32" s="20">
        <f t="shared" si="1"/>
        <v>0</v>
      </c>
      <c r="H32" s="18"/>
      <c r="I32" s="15">
        <v>0.3</v>
      </c>
      <c r="J32" s="21">
        <f t="shared" si="2"/>
        <v>0</v>
      </c>
      <c r="K32" s="20">
        <f t="shared" si="3"/>
        <v>0</v>
      </c>
    </row>
    <row r="33" spans="1:11" x14ac:dyDescent="0.3">
      <c r="B33" s="1" t="s">
        <v>20</v>
      </c>
      <c r="C33" s="1" t="s">
        <v>303</v>
      </c>
      <c r="D33" s="18"/>
      <c r="E33" s="12">
        <v>0.3</v>
      </c>
      <c r="F33" s="19">
        <f t="shared" si="0"/>
        <v>0</v>
      </c>
      <c r="G33" s="20">
        <f t="shared" si="1"/>
        <v>0</v>
      </c>
      <c r="H33" s="18"/>
      <c r="I33" s="15">
        <v>0.3</v>
      </c>
      <c r="J33" s="21">
        <f t="shared" si="2"/>
        <v>0</v>
      </c>
      <c r="K33" s="20">
        <f t="shared" si="3"/>
        <v>0</v>
      </c>
    </row>
    <row r="34" spans="1:11" x14ac:dyDescent="0.3">
      <c r="B34" s="1" t="s">
        <v>21</v>
      </c>
      <c r="C34" s="1" t="s">
        <v>304</v>
      </c>
      <c r="D34" s="18"/>
      <c r="E34" s="12">
        <v>0.3</v>
      </c>
      <c r="F34" s="19">
        <f t="shared" si="0"/>
        <v>0</v>
      </c>
      <c r="G34" s="20">
        <f t="shared" si="1"/>
        <v>0</v>
      </c>
      <c r="H34" s="18"/>
      <c r="I34" s="15">
        <v>0.3</v>
      </c>
      <c r="J34" s="21">
        <f t="shared" si="2"/>
        <v>0</v>
      </c>
      <c r="K34" s="20">
        <f t="shared" si="3"/>
        <v>0</v>
      </c>
    </row>
    <row r="35" spans="1:11" x14ac:dyDescent="0.3">
      <c r="B35" s="1" t="s">
        <v>271</v>
      </c>
      <c r="C35" s="1" t="s">
        <v>305</v>
      </c>
      <c r="D35" s="18">
        <v>79</v>
      </c>
      <c r="E35" s="12">
        <v>0.3</v>
      </c>
      <c r="F35" s="19">
        <f t="shared" si="0"/>
        <v>112.85714285714286</v>
      </c>
      <c r="G35" s="20">
        <f t="shared" si="1"/>
        <v>33.857142857142861</v>
      </c>
      <c r="H35" s="18">
        <v>88</v>
      </c>
      <c r="I35" s="15">
        <v>0.3</v>
      </c>
      <c r="J35" s="21">
        <f t="shared" si="2"/>
        <v>125.71428571428572</v>
      </c>
      <c r="K35" s="20">
        <f t="shared" si="3"/>
        <v>37.714285714285722</v>
      </c>
    </row>
    <row r="36" spans="1:11" x14ac:dyDescent="0.3">
      <c r="B36" s="1" t="s">
        <v>270</v>
      </c>
      <c r="C36" s="1" t="s">
        <v>306</v>
      </c>
      <c r="D36" s="18"/>
      <c r="E36" s="12">
        <v>0.3</v>
      </c>
      <c r="F36" s="19">
        <f t="shared" si="0"/>
        <v>0</v>
      </c>
      <c r="G36" s="20">
        <f t="shared" si="1"/>
        <v>0</v>
      </c>
      <c r="H36" s="18"/>
      <c r="I36" s="15">
        <v>0.3</v>
      </c>
      <c r="J36" s="21">
        <f t="shared" si="2"/>
        <v>0</v>
      </c>
      <c r="K36" s="20">
        <f t="shared" si="3"/>
        <v>0</v>
      </c>
    </row>
    <row r="37" spans="1:11" x14ac:dyDescent="0.3">
      <c r="B37" s="1" t="s">
        <v>37</v>
      </c>
      <c r="C37" s="1" t="s">
        <v>307</v>
      </c>
      <c r="D37" s="18">
        <v>102</v>
      </c>
      <c r="E37" s="12">
        <v>0.3</v>
      </c>
      <c r="F37" s="19">
        <f t="shared" si="0"/>
        <v>145.71428571428572</v>
      </c>
      <c r="G37" s="20">
        <f t="shared" si="1"/>
        <v>43.714285714285722</v>
      </c>
      <c r="H37" s="18">
        <v>117</v>
      </c>
      <c r="I37" s="15">
        <v>0.3</v>
      </c>
      <c r="J37" s="21">
        <f t="shared" si="2"/>
        <v>167.14285714285717</v>
      </c>
      <c r="K37" s="20">
        <f t="shared" si="3"/>
        <v>50.142857142857167</v>
      </c>
    </row>
    <row r="38" spans="1:11" x14ac:dyDescent="0.3">
      <c r="B38" s="1" t="s">
        <v>269</v>
      </c>
      <c r="C38" s="1" t="s">
        <v>308</v>
      </c>
      <c r="D38" s="18"/>
      <c r="E38" s="12">
        <v>0.3</v>
      </c>
      <c r="F38" s="19">
        <f t="shared" si="0"/>
        <v>0</v>
      </c>
      <c r="G38" s="20">
        <f t="shared" si="1"/>
        <v>0</v>
      </c>
      <c r="H38" s="18"/>
      <c r="I38" s="15">
        <v>0.3</v>
      </c>
      <c r="J38" s="21">
        <f t="shared" si="2"/>
        <v>0</v>
      </c>
      <c r="K38" s="20">
        <f t="shared" si="3"/>
        <v>0</v>
      </c>
    </row>
    <row r="39" spans="1:11" x14ac:dyDescent="0.3">
      <c r="B39" s="1" t="s">
        <v>268</v>
      </c>
      <c r="C39" s="1" t="s">
        <v>309</v>
      </c>
      <c r="D39" s="18"/>
      <c r="E39" s="12">
        <v>0.3</v>
      </c>
      <c r="F39" s="19">
        <f t="shared" si="0"/>
        <v>0</v>
      </c>
      <c r="G39" s="20">
        <f t="shared" si="1"/>
        <v>0</v>
      </c>
      <c r="H39" s="18"/>
      <c r="I39" s="15">
        <v>0.3</v>
      </c>
      <c r="J39" s="21">
        <f t="shared" si="2"/>
        <v>0</v>
      </c>
      <c r="K39" s="20">
        <f t="shared" si="3"/>
        <v>0</v>
      </c>
    </row>
    <row r="40" spans="1:11" x14ac:dyDescent="0.3">
      <c r="A40" s="1">
        <v>1</v>
      </c>
      <c r="B40" s="1" t="s">
        <v>38</v>
      </c>
      <c r="C40" s="1" t="s">
        <v>310</v>
      </c>
      <c r="D40" s="18">
        <v>55</v>
      </c>
      <c r="E40" s="12">
        <v>0.3</v>
      </c>
      <c r="F40" s="19">
        <f t="shared" si="0"/>
        <v>78.571428571428569</v>
      </c>
      <c r="G40" s="20">
        <f t="shared" si="1"/>
        <v>23.571428571428569</v>
      </c>
      <c r="H40" s="18">
        <v>68</v>
      </c>
      <c r="I40" s="15">
        <v>0.3</v>
      </c>
      <c r="J40" s="21">
        <f t="shared" si="2"/>
        <v>97.142857142857153</v>
      </c>
      <c r="K40" s="20">
        <f t="shared" si="3"/>
        <v>29.142857142857153</v>
      </c>
    </row>
    <row r="41" spans="1:11" x14ac:dyDescent="0.3">
      <c r="B41" s="1" t="s">
        <v>39</v>
      </c>
      <c r="C41" s="1" t="s">
        <v>311</v>
      </c>
      <c r="D41" s="18"/>
      <c r="E41" s="12">
        <v>0.3</v>
      </c>
      <c r="F41" s="19">
        <f t="shared" si="0"/>
        <v>0</v>
      </c>
      <c r="G41" s="20">
        <f t="shared" si="1"/>
        <v>0</v>
      </c>
      <c r="H41" s="18"/>
      <c r="I41" s="15">
        <v>0.3</v>
      </c>
      <c r="J41" s="21">
        <f t="shared" si="2"/>
        <v>0</v>
      </c>
      <c r="K41" s="20">
        <f t="shared" si="3"/>
        <v>0</v>
      </c>
    </row>
    <row r="42" spans="1:11" x14ac:dyDescent="0.3">
      <c r="B42" s="1" t="s">
        <v>40</v>
      </c>
      <c r="C42" s="1" t="s">
        <v>312</v>
      </c>
      <c r="D42" s="18"/>
      <c r="E42" s="12">
        <v>0.3</v>
      </c>
      <c r="F42" s="19">
        <f t="shared" si="0"/>
        <v>0</v>
      </c>
      <c r="G42" s="20">
        <f t="shared" si="1"/>
        <v>0</v>
      </c>
      <c r="H42" s="18"/>
      <c r="I42" s="15">
        <v>0.3</v>
      </c>
      <c r="J42" s="21">
        <f t="shared" si="2"/>
        <v>0</v>
      </c>
      <c r="K42" s="20">
        <f t="shared" si="3"/>
        <v>0</v>
      </c>
    </row>
    <row r="43" spans="1:11" x14ac:dyDescent="0.3">
      <c r="B43" s="1" t="s">
        <v>753</v>
      </c>
      <c r="D43" s="18">
        <v>80</v>
      </c>
      <c r="E43" s="12">
        <v>0.3</v>
      </c>
      <c r="F43" s="19">
        <f t="shared" si="0"/>
        <v>114.28571428571429</v>
      </c>
      <c r="G43" s="20">
        <f t="shared" si="1"/>
        <v>34.285714285714292</v>
      </c>
      <c r="H43" s="18">
        <v>90</v>
      </c>
      <c r="I43" s="15">
        <v>0.3</v>
      </c>
      <c r="J43" s="21">
        <f t="shared" si="2"/>
        <v>128.57142857142858</v>
      </c>
      <c r="K43" s="20">
        <f t="shared" si="3"/>
        <v>38.571428571428584</v>
      </c>
    </row>
    <row r="44" spans="1:11" x14ac:dyDescent="0.3">
      <c r="B44" s="1" t="s">
        <v>33</v>
      </c>
      <c r="C44" s="1" t="s">
        <v>273</v>
      </c>
      <c r="D44" s="18">
        <v>78</v>
      </c>
      <c r="E44" s="12">
        <v>0.3</v>
      </c>
      <c r="F44" s="19">
        <v>110</v>
      </c>
      <c r="G44" s="20">
        <f t="shared" si="1"/>
        <v>32</v>
      </c>
      <c r="H44" s="18"/>
      <c r="I44" s="15">
        <v>0.3</v>
      </c>
      <c r="J44" s="21">
        <f t="shared" si="2"/>
        <v>0</v>
      </c>
      <c r="K44" s="20">
        <f t="shared" si="3"/>
        <v>0</v>
      </c>
    </row>
    <row r="45" spans="1:11" x14ac:dyDescent="0.3">
      <c r="B45" s="1" t="s">
        <v>34</v>
      </c>
      <c r="C45" s="1" t="s">
        <v>272</v>
      </c>
      <c r="D45" s="18" t="s">
        <v>1262</v>
      </c>
      <c r="E45" s="12">
        <v>0.3</v>
      </c>
      <c r="F45" s="19">
        <v>105</v>
      </c>
      <c r="G45" s="20" t="e">
        <f t="shared" si="1"/>
        <v>#VALUE!</v>
      </c>
      <c r="H45" s="18"/>
      <c r="I45" s="15">
        <v>0.3</v>
      </c>
      <c r="J45" s="21">
        <f t="shared" si="2"/>
        <v>0</v>
      </c>
      <c r="K45" s="20">
        <f t="shared" si="3"/>
        <v>0</v>
      </c>
    </row>
    <row r="46" spans="1:11" x14ac:dyDescent="0.3">
      <c r="B46" s="1" t="s">
        <v>35</v>
      </c>
      <c r="C46" s="1" t="s">
        <v>287</v>
      </c>
      <c r="D46" s="18"/>
      <c r="E46" s="12">
        <v>0.3</v>
      </c>
      <c r="F46" s="19">
        <f t="shared" si="0"/>
        <v>0</v>
      </c>
      <c r="G46" s="20">
        <f t="shared" si="1"/>
        <v>0</v>
      </c>
      <c r="H46" s="18"/>
      <c r="I46" s="15">
        <v>0.3</v>
      </c>
      <c r="J46" s="21">
        <f t="shared" si="2"/>
        <v>0</v>
      </c>
      <c r="K46" s="20">
        <f t="shared" si="3"/>
        <v>0</v>
      </c>
    </row>
    <row r="47" spans="1:11" x14ac:dyDescent="0.3">
      <c r="B47" s="1" t="s">
        <v>36</v>
      </c>
      <c r="C47" s="1" t="s">
        <v>287</v>
      </c>
      <c r="D47" s="18"/>
      <c r="E47" s="12">
        <v>0.3</v>
      </c>
      <c r="F47" s="19">
        <f t="shared" si="0"/>
        <v>0</v>
      </c>
      <c r="G47" s="20">
        <f t="shared" si="1"/>
        <v>0</v>
      </c>
      <c r="H47" s="18"/>
      <c r="I47" s="15">
        <v>0.3</v>
      </c>
      <c r="J47" s="21">
        <f t="shared" si="2"/>
        <v>0</v>
      </c>
      <c r="K47" s="20">
        <f t="shared" si="3"/>
        <v>0</v>
      </c>
    </row>
    <row r="48" spans="1:11" x14ac:dyDescent="0.3">
      <c r="B48" s="1" t="s">
        <v>51</v>
      </c>
      <c r="C48" s="1" t="s">
        <v>313</v>
      </c>
      <c r="D48" s="18"/>
      <c r="E48" s="12">
        <v>0.3</v>
      </c>
      <c r="F48" s="19">
        <f t="shared" si="0"/>
        <v>0</v>
      </c>
      <c r="G48" s="20">
        <f t="shared" si="1"/>
        <v>0</v>
      </c>
      <c r="H48" s="18"/>
      <c r="I48" s="15">
        <v>0.3</v>
      </c>
      <c r="J48" s="21">
        <f t="shared" si="2"/>
        <v>0</v>
      </c>
      <c r="K48" s="20">
        <f t="shared" si="3"/>
        <v>0</v>
      </c>
    </row>
    <row r="49" spans="1:11" x14ac:dyDescent="0.3">
      <c r="B49" s="1" t="s">
        <v>52</v>
      </c>
      <c r="C49" s="1" t="s">
        <v>314</v>
      </c>
      <c r="D49" s="18"/>
      <c r="E49" s="12">
        <v>0.3</v>
      </c>
      <c r="F49" s="19">
        <f t="shared" si="0"/>
        <v>0</v>
      </c>
      <c r="G49" s="20">
        <f t="shared" si="1"/>
        <v>0</v>
      </c>
      <c r="H49" s="18"/>
      <c r="I49" s="15">
        <v>0.3</v>
      </c>
      <c r="J49" s="21">
        <f t="shared" si="2"/>
        <v>0</v>
      </c>
      <c r="K49" s="20">
        <f t="shared" si="3"/>
        <v>0</v>
      </c>
    </row>
    <row r="50" spans="1:11" x14ac:dyDescent="0.3">
      <c r="B50" s="1" t="s">
        <v>266</v>
      </c>
      <c r="C50" s="1" t="s">
        <v>289</v>
      </c>
      <c r="D50" s="18"/>
      <c r="E50" s="12">
        <v>0.3</v>
      </c>
      <c r="F50" s="19">
        <f t="shared" si="0"/>
        <v>0</v>
      </c>
      <c r="G50" s="20">
        <f t="shared" si="1"/>
        <v>0</v>
      </c>
      <c r="H50" s="18"/>
      <c r="I50" s="15">
        <v>0.3</v>
      </c>
      <c r="J50" s="21">
        <f t="shared" si="2"/>
        <v>0</v>
      </c>
      <c r="K50" s="20">
        <f t="shared" si="3"/>
        <v>0</v>
      </c>
    </row>
    <row r="51" spans="1:11" x14ac:dyDescent="0.3">
      <c r="B51" s="1" t="s">
        <v>53</v>
      </c>
      <c r="C51" s="1" t="s">
        <v>289</v>
      </c>
      <c r="D51" s="18"/>
      <c r="E51" s="12">
        <v>0.3</v>
      </c>
      <c r="F51" s="19">
        <f t="shared" si="0"/>
        <v>0</v>
      </c>
      <c r="G51" s="20">
        <f t="shared" si="1"/>
        <v>0</v>
      </c>
      <c r="H51" s="18"/>
      <c r="I51" s="15">
        <v>0.3</v>
      </c>
      <c r="J51" s="21">
        <f t="shared" si="2"/>
        <v>0</v>
      </c>
      <c r="K51" s="20">
        <f t="shared" si="3"/>
        <v>0</v>
      </c>
    </row>
    <row r="52" spans="1:11" x14ac:dyDescent="0.3">
      <c r="B52" s="1" t="s">
        <v>267</v>
      </c>
      <c r="C52" s="1" t="s">
        <v>315</v>
      </c>
      <c r="D52" s="18"/>
      <c r="E52" s="12">
        <v>0.3</v>
      </c>
      <c r="F52" s="19">
        <f t="shared" si="0"/>
        <v>0</v>
      </c>
      <c r="G52" s="20">
        <f t="shared" si="1"/>
        <v>0</v>
      </c>
      <c r="H52" s="18"/>
      <c r="I52" s="15">
        <v>0.3</v>
      </c>
      <c r="J52" s="21">
        <f t="shared" si="2"/>
        <v>0</v>
      </c>
      <c r="K52" s="20">
        <f t="shared" si="3"/>
        <v>0</v>
      </c>
    </row>
    <row r="53" spans="1:11" x14ac:dyDescent="0.3">
      <c r="B53" s="1" t="s">
        <v>48</v>
      </c>
      <c r="C53" s="1" t="s">
        <v>316</v>
      </c>
      <c r="D53" s="18"/>
      <c r="E53" s="12">
        <v>0.3</v>
      </c>
      <c r="F53" s="19">
        <f t="shared" si="0"/>
        <v>0</v>
      </c>
      <c r="G53" s="20">
        <f t="shared" si="1"/>
        <v>0</v>
      </c>
      <c r="H53" s="18"/>
      <c r="I53" s="15">
        <v>0.3</v>
      </c>
      <c r="J53" s="21">
        <f t="shared" si="2"/>
        <v>0</v>
      </c>
      <c r="K53" s="20">
        <f t="shared" si="3"/>
        <v>0</v>
      </c>
    </row>
    <row r="54" spans="1:11" x14ac:dyDescent="0.3">
      <c r="B54" s="1" t="s">
        <v>49</v>
      </c>
      <c r="C54" s="1" t="s">
        <v>317</v>
      </c>
      <c r="D54" s="18">
        <v>78</v>
      </c>
      <c r="E54" s="12">
        <v>0.3</v>
      </c>
      <c r="F54" s="19">
        <f t="shared" si="0"/>
        <v>111.42857142857143</v>
      </c>
      <c r="G54" s="20">
        <f t="shared" si="1"/>
        <v>33.428571428571431</v>
      </c>
      <c r="H54" s="18">
        <v>90</v>
      </c>
      <c r="I54" s="15">
        <v>0.3</v>
      </c>
      <c r="J54" s="21">
        <f t="shared" si="2"/>
        <v>128.57142857142858</v>
      </c>
      <c r="K54" s="20">
        <f t="shared" si="3"/>
        <v>38.571428571428584</v>
      </c>
    </row>
    <row r="55" spans="1:11" x14ac:dyDescent="0.3">
      <c r="B55" s="1" t="s">
        <v>50</v>
      </c>
      <c r="C55" s="1" t="s">
        <v>318</v>
      </c>
      <c r="D55" s="18" t="s">
        <v>1262</v>
      </c>
      <c r="E55" s="12">
        <v>0.3</v>
      </c>
      <c r="F55" s="19" t="e">
        <f t="shared" si="0"/>
        <v>#VALUE!</v>
      </c>
      <c r="G55" s="20" t="e">
        <f t="shared" si="1"/>
        <v>#VALUE!</v>
      </c>
      <c r="H55" s="18"/>
      <c r="I55" s="15">
        <v>0.3</v>
      </c>
      <c r="J55" s="21">
        <f t="shared" si="2"/>
        <v>0</v>
      </c>
      <c r="K55" s="20">
        <f t="shared" si="3"/>
        <v>0</v>
      </c>
    </row>
    <row r="56" spans="1:11" x14ac:dyDescent="0.3">
      <c r="B56" s="1" t="s">
        <v>44</v>
      </c>
      <c r="C56" s="1" t="s">
        <v>319</v>
      </c>
      <c r="D56" s="18">
        <v>78</v>
      </c>
      <c r="E56" s="12">
        <v>0.3</v>
      </c>
      <c r="F56" s="19">
        <f t="shared" si="0"/>
        <v>111.42857142857143</v>
      </c>
      <c r="G56" s="20">
        <f t="shared" si="1"/>
        <v>33.428571428571431</v>
      </c>
      <c r="H56" s="18">
        <v>88</v>
      </c>
      <c r="I56" s="15">
        <v>0.3</v>
      </c>
      <c r="J56" s="21">
        <f t="shared" si="2"/>
        <v>125.71428571428572</v>
      </c>
      <c r="K56" s="20">
        <f t="shared" si="3"/>
        <v>37.714285714285722</v>
      </c>
    </row>
    <row r="57" spans="1:11" x14ac:dyDescent="0.3">
      <c r="B57" s="1" t="s">
        <v>45</v>
      </c>
      <c r="C57" s="1" t="s">
        <v>316</v>
      </c>
      <c r="D57" s="18"/>
      <c r="E57" s="12">
        <v>0.3</v>
      </c>
      <c r="F57" s="19">
        <f t="shared" si="0"/>
        <v>0</v>
      </c>
      <c r="G57" s="20">
        <f t="shared" si="1"/>
        <v>0</v>
      </c>
      <c r="H57" s="18"/>
      <c r="I57" s="15">
        <v>0.3</v>
      </c>
      <c r="J57" s="21">
        <f t="shared" si="2"/>
        <v>0</v>
      </c>
      <c r="K57" s="20">
        <f t="shared" si="3"/>
        <v>0</v>
      </c>
    </row>
    <row r="58" spans="1:11" x14ac:dyDescent="0.3">
      <c r="B58" s="1" t="s">
        <v>46</v>
      </c>
      <c r="C58" s="1" t="s">
        <v>320</v>
      </c>
      <c r="D58" s="18"/>
      <c r="E58" s="12">
        <v>0.3</v>
      </c>
      <c r="F58" s="19">
        <f t="shared" si="0"/>
        <v>0</v>
      </c>
      <c r="G58" s="20">
        <f t="shared" si="1"/>
        <v>0</v>
      </c>
      <c r="H58" s="18"/>
      <c r="I58" s="15">
        <v>0.3</v>
      </c>
      <c r="J58" s="21">
        <f t="shared" si="2"/>
        <v>0</v>
      </c>
      <c r="K58" s="20">
        <f t="shared" si="3"/>
        <v>0</v>
      </c>
    </row>
    <row r="59" spans="1:11" x14ac:dyDescent="0.3">
      <c r="B59" s="1" t="s">
        <v>47</v>
      </c>
      <c r="C59" s="1" t="s">
        <v>321</v>
      </c>
      <c r="D59" s="18"/>
      <c r="E59" s="12">
        <v>0.3</v>
      </c>
      <c r="F59" s="19">
        <f t="shared" si="0"/>
        <v>0</v>
      </c>
      <c r="G59" s="20">
        <f t="shared" si="1"/>
        <v>0</v>
      </c>
      <c r="H59" s="18"/>
      <c r="I59" s="15">
        <v>0.3</v>
      </c>
      <c r="J59" s="21">
        <f t="shared" si="2"/>
        <v>0</v>
      </c>
      <c r="K59" s="20">
        <f t="shared" si="3"/>
        <v>0</v>
      </c>
    </row>
    <row r="60" spans="1:11" x14ac:dyDescent="0.3">
      <c r="B60" s="1" t="s">
        <v>41</v>
      </c>
      <c r="C60" s="1" t="s">
        <v>322</v>
      </c>
      <c r="D60" s="18"/>
      <c r="E60" s="12">
        <v>0.3</v>
      </c>
      <c r="F60" s="19">
        <f t="shared" si="0"/>
        <v>0</v>
      </c>
      <c r="G60" s="20">
        <f t="shared" si="1"/>
        <v>0</v>
      </c>
      <c r="H60" s="18"/>
      <c r="I60" s="15">
        <v>0.3</v>
      </c>
      <c r="J60" s="21">
        <f t="shared" si="2"/>
        <v>0</v>
      </c>
      <c r="K60" s="20">
        <f t="shared" si="3"/>
        <v>0</v>
      </c>
    </row>
    <row r="61" spans="1:11" x14ac:dyDescent="0.3">
      <c r="B61" s="1" t="s">
        <v>42</v>
      </c>
      <c r="C61" s="1" t="s">
        <v>323</v>
      </c>
      <c r="D61" s="18"/>
      <c r="E61" s="12">
        <v>0.3</v>
      </c>
      <c r="F61" s="19">
        <f t="shared" si="0"/>
        <v>0</v>
      </c>
      <c r="G61" s="20">
        <f t="shared" si="1"/>
        <v>0</v>
      </c>
      <c r="H61" s="18"/>
      <c r="I61" s="15">
        <v>0.3</v>
      </c>
      <c r="J61" s="21">
        <f t="shared" si="2"/>
        <v>0</v>
      </c>
      <c r="K61" s="20">
        <f t="shared" si="3"/>
        <v>0</v>
      </c>
    </row>
    <row r="62" spans="1:11" x14ac:dyDescent="0.3">
      <c r="B62" s="1" t="s">
        <v>43</v>
      </c>
      <c r="C62" s="1" t="s">
        <v>324</v>
      </c>
      <c r="D62" s="18"/>
      <c r="E62" s="12">
        <v>0.3</v>
      </c>
      <c r="F62" s="19">
        <f t="shared" si="0"/>
        <v>0</v>
      </c>
      <c r="G62" s="20">
        <f t="shared" si="1"/>
        <v>0</v>
      </c>
      <c r="H62" s="18"/>
      <c r="I62" s="15">
        <v>0.3</v>
      </c>
      <c r="J62" s="21">
        <f t="shared" si="2"/>
        <v>0</v>
      </c>
      <c r="K62" s="20">
        <f t="shared" si="3"/>
        <v>0</v>
      </c>
    </row>
    <row r="63" spans="1:11" x14ac:dyDescent="0.3">
      <c r="A63" s="1">
        <v>3</v>
      </c>
      <c r="B63" s="1" t="s">
        <v>58</v>
      </c>
      <c r="C63" s="1" t="s">
        <v>325</v>
      </c>
      <c r="D63" s="18">
        <v>78</v>
      </c>
      <c r="E63" s="12">
        <v>0.3</v>
      </c>
      <c r="F63" s="19">
        <f t="shared" si="0"/>
        <v>111.42857142857143</v>
      </c>
      <c r="G63" s="20">
        <f t="shared" si="1"/>
        <v>33.428571428571431</v>
      </c>
      <c r="H63" s="18"/>
      <c r="I63" s="15">
        <v>0.3</v>
      </c>
      <c r="J63" s="21">
        <f t="shared" si="2"/>
        <v>0</v>
      </c>
      <c r="K63" s="20">
        <f t="shared" si="3"/>
        <v>0</v>
      </c>
    </row>
    <row r="64" spans="1:11" x14ac:dyDescent="0.3">
      <c r="A64" s="1">
        <v>1</v>
      </c>
      <c r="B64" s="1" t="s">
        <v>59</v>
      </c>
      <c r="C64" s="1" t="s">
        <v>326</v>
      </c>
      <c r="D64" s="18">
        <v>78</v>
      </c>
      <c r="E64" s="12">
        <v>0.3</v>
      </c>
      <c r="F64" s="19">
        <f t="shared" si="0"/>
        <v>111.42857142857143</v>
      </c>
      <c r="G64" s="20">
        <f t="shared" si="1"/>
        <v>33.428571428571431</v>
      </c>
      <c r="H64" s="18"/>
      <c r="I64" s="15">
        <v>0.3</v>
      </c>
      <c r="J64" s="21">
        <f t="shared" si="2"/>
        <v>0</v>
      </c>
      <c r="K64" s="20">
        <f t="shared" si="3"/>
        <v>0</v>
      </c>
    </row>
    <row r="65" spans="1:11" x14ac:dyDescent="0.3">
      <c r="A65" s="1">
        <v>1</v>
      </c>
      <c r="B65" s="1" t="s">
        <v>60</v>
      </c>
      <c r="C65" s="1" t="s">
        <v>327</v>
      </c>
      <c r="D65" s="18">
        <v>69</v>
      </c>
      <c r="E65" s="12">
        <v>0.3</v>
      </c>
      <c r="F65" s="19">
        <f t="shared" si="0"/>
        <v>98.571428571428584</v>
      </c>
      <c r="G65" s="20">
        <f t="shared" si="1"/>
        <v>29.571428571428584</v>
      </c>
      <c r="H65" s="18"/>
      <c r="I65" s="15">
        <v>0.3</v>
      </c>
      <c r="J65" s="21">
        <f t="shared" si="2"/>
        <v>0</v>
      </c>
      <c r="K65" s="20">
        <f t="shared" si="3"/>
        <v>0</v>
      </c>
    </row>
    <row r="66" spans="1:11" x14ac:dyDescent="0.3">
      <c r="B66" s="1" t="s">
        <v>264</v>
      </c>
      <c r="C66" s="1" t="s">
        <v>328</v>
      </c>
      <c r="D66" s="18"/>
      <c r="E66" s="12">
        <v>0.3</v>
      </c>
      <c r="F66" s="19">
        <f t="shared" si="0"/>
        <v>0</v>
      </c>
      <c r="G66" s="20">
        <f t="shared" si="1"/>
        <v>0</v>
      </c>
      <c r="H66" s="18"/>
      <c r="I66" s="15">
        <v>0.3</v>
      </c>
      <c r="J66" s="21">
        <f t="shared" si="2"/>
        <v>0</v>
      </c>
      <c r="K66" s="20">
        <f t="shared" si="3"/>
        <v>0</v>
      </c>
    </row>
    <row r="67" spans="1:11" x14ac:dyDescent="0.3">
      <c r="B67" s="1" t="s">
        <v>263</v>
      </c>
      <c r="C67" s="1" t="s">
        <v>329</v>
      </c>
      <c r="D67" s="18"/>
      <c r="E67" s="12">
        <v>0.3</v>
      </c>
      <c r="F67" s="19">
        <f t="shared" si="0"/>
        <v>0</v>
      </c>
      <c r="G67" s="20">
        <f t="shared" si="1"/>
        <v>0</v>
      </c>
      <c r="H67" s="18"/>
      <c r="I67" s="15">
        <v>0.3</v>
      </c>
      <c r="J67" s="21">
        <f t="shared" si="2"/>
        <v>0</v>
      </c>
      <c r="K67" s="20">
        <f t="shared" si="3"/>
        <v>0</v>
      </c>
    </row>
    <row r="68" spans="1:11" x14ac:dyDescent="0.3">
      <c r="B68" s="1" t="s">
        <v>262</v>
      </c>
      <c r="C68" s="1" t="s">
        <v>330</v>
      </c>
      <c r="D68" s="18">
        <v>102</v>
      </c>
      <c r="E68" s="12">
        <v>0.3</v>
      </c>
      <c r="F68" s="19">
        <f t="shared" ref="F68:F130" si="4">D68/(1-E68)</f>
        <v>145.71428571428572</v>
      </c>
      <c r="G68" s="20">
        <f t="shared" ref="G68:G130" si="5">F68-D68</f>
        <v>43.714285714285722</v>
      </c>
      <c r="H68" s="18">
        <v>115</v>
      </c>
      <c r="I68" s="15">
        <v>0.3</v>
      </c>
      <c r="J68" s="21">
        <f t="shared" ref="J68:J130" si="6">H68/(1-I68)</f>
        <v>164.28571428571431</v>
      </c>
      <c r="K68" s="20">
        <f t="shared" ref="K68:K130" si="7">J68-H68</f>
        <v>49.285714285714306</v>
      </c>
    </row>
    <row r="69" spans="1:11" x14ac:dyDescent="0.3">
      <c r="B69" s="1" t="s">
        <v>54</v>
      </c>
      <c r="C69" s="1" t="s">
        <v>331</v>
      </c>
      <c r="D69" s="18"/>
      <c r="E69" s="12">
        <v>0.3</v>
      </c>
      <c r="F69" s="19">
        <f t="shared" si="4"/>
        <v>0</v>
      </c>
      <c r="G69" s="20">
        <f t="shared" si="5"/>
        <v>0</v>
      </c>
      <c r="H69" s="18"/>
      <c r="I69" s="15">
        <v>0.3</v>
      </c>
      <c r="J69" s="21">
        <f t="shared" si="6"/>
        <v>0</v>
      </c>
      <c r="K69" s="20">
        <f t="shared" si="7"/>
        <v>0</v>
      </c>
    </row>
    <row r="70" spans="1:11" x14ac:dyDescent="0.3">
      <c r="B70" s="1" t="s">
        <v>265</v>
      </c>
      <c r="C70" s="1" t="s">
        <v>332</v>
      </c>
      <c r="D70" s="18"/>
      <c r="E70" s="12">
        <v>0.3</v>
      </c>
      <c r="F70" s="19">
        <f t="shared" si="4"/>
        <v>0</v>
      </c>
      <c r="G70" s="20">
        <f t="shared" si="5"/>
        <v>0</v>
      </c>
      <c r="H70" s="18"/>
      <c r="I70" s="15">
        <v>0.3</v>
      </c>
      <c r="J70" s="21">
        <f t="shared" si="6"/>
        <v>0</v>
      </c>
      <c r="K70" s="20">
        <f t="shared" si="7"/>
        <v>0</v>
      </c>
    </row>
    <row r="71" spans="1:11" x14ac:dyDescent="0.3">
      <c r="B71" s="1" t="s">
        <v>55</v>
      </c>
      <c r="C71" s="1" t="s">
        <v>333</v>
      </c>
      <c r="D71" s="18"/>
      <c r="E71" s="12">
        <v>0.3</v>
      </c>
      <c r="F71" s="19">
        <f t="shared" si="4"/>
        <v>0</v>
      </c>
      <c r="G71" s="20">
        <f t="shared" si="5"/>
        <v>0</v>
      </c>
      <c r="H71" s="18"/>
      <c r="I71" s="15">
        <v>0.3</v>
      </c>
      <c r="J71" s="21">
        <f t="shared" si="6"/>
        <v>0</v>
      </c>
      <c r="K71" s="20">
        <f t="shared" si="7"/>
        <v>0</v>
      </c>
    </row>
    <row r="72" spans="1:11" x14ac:dyDescent="0.3">
      <c r="B72" s="1" t="s">
        <v>56</v>
      </c>
      <c r="C72" s="1" t="s">
        <v>334</v>
      </c>
      <c r="D72" s="18"/>
      <c r="E72" s="12">
        <v>0.3</v>
      </c>
      <c r="F72" s="19">
        <f t="shared" si="4"/>
        <v>0</v>
      </c>
      <c r="G72" s="20">
        <f t="shared" si="5"/>
        <v>0</v>
      </c>
      <c r="H72" s="18"/>
      <c r="I72" s="15">
        <v>0.3</v>
      </c>
      <c r="J72" s="21">
        <f t="shared" si="6"/>
        <v>0</v>
      </c>
      <c r="K72" s="20">
        <f t="shared" si="7"/>
        <v>0</v>
      </c>
    </row>
    <row r="73" spans="1:11" x14ac:dyDescent="0.3">
      <c r="B73" s="1" t="s">
        <v>57</v>
      </c>
      <c r="C73" s="1" t="s">
        <v>335</v>
      </c>
      <c r="D73" s="18"/>
      <c r="E73" s="12">
        <v>0.3</v>
      </c>
      <c r="F73" s="19">
        <f t="shared" si="4"/>
        <v>0</v>
      </c>
      <c r="G73" s="20">
        <f t="shared" si="5"/>
        <v>0</v>
      </c>
      <c r="H73" s="18"/>
      <c r="I73" s="15">
        <v>0.3</v>
      </c>
      <c r="J73" s="21">
        <f t="shared" si="6"/>
        <v>0</v>
      </c>
      <c r="K73" s="20">
        <f t="shared" si="7"/>
        <v>0</v>
      </c>
    </row>
    <row r="74" spans="1:11" x14ac:dyDescent="0.3">
      <c r="B74" s="1" t="s">
        <v>253</v>
      </c>
      <c r="C74" s="1" t="s">
        <v>336</v>
      </c>
      <c r="D74" s="18"/>
      <c r="E74" s="12">
        <v>0.3</v>
      </c>
      <c r="F74" s="19">
        <f t="shared" si="4"/>
        <v>0</v>
      </c>
      <c r="G74" s="20">
        <f t="shared" si="5"/>
        <v>0</v>
      </c>
      <c r="H74" s="18"/>
      <c r="I74" s="15">
        <v>0.3</v>
      </c>
      <c r="J74" s="21">
        <f t="shared" si="6"/>
        <v>0</v>
      </c>
      <c r="K74" s="20">
        <f t="shared" si="7"/>
        <v>0</v>
      </c>
    </row>
    <row r="75" spans="1:11" x14ac:dyDescent="0.3">
      <c r="B75" s="1" t="s">
        <v>252</v>
      </c>
      <c r="C75" s="1" t="s">
        <v>337</v>
      </c>
      <c r="D75" s="18"/>
      <c r="E75" s="12">
        <v>0.3</v>
      </c>
      <c r="F75" s="19">
        <f t="shared" si="4"/>
        <v>0</v>
      </c>
      <c r="G75" s="20">
        <f t="shared" si="5"/>
        <v>0</v>
      </c>
      <c r="H75" s="18"/>
      <c r="I75" s="15">
        <v>0.3</v>
      </c>
      <c r="J75" s="21">
        <f t="shared" si="6"/>
        <v>0</v>
      </c>
      <c r="K75" s="20">
        <f t="shared" si="7"/>
        <v>0</v>
      </c>
    </row>
    <row r="76" spans="1:11" x14ac:dyDescent="0.3">
      <c r="B76" s="1" t="s">
        <v>251</v>
      </c>
      <c r="C76" s="1" t="s">
        <v>338</v>
      </c>
      <c r="D76" s="18"/>
      <c r="E76" s="12">
        <v>0.3</v>
      </c>
      <c r="F76" s="19">
        <f t="shared" si="4"/>
        <v>0</v>
      </c>
      <c r="G76" s="20">
        <f t="shared" si="5"/>
        <v>0</v>
      </c>
      <c r="H76" s="18"/>
      <c r="I76" s="15">
        <v>0.3</v>
      </c>
      <c r="J76" s="21">
        <f t="shared" si="6"/>
        <v>0</v>
      </c>
      <c r="K76" s="20">
        <f t="shared" si="7"/>
        <v>0</v>
      </c>
    </row>
    <row r="77" spans="1:11" x14ac:dyDescent="0.3">
      <c r="B77" s="1" t="s">
        <v>65</v>
      </c>
      <c r="C77" s="1" t="s">
        <v>339</v>
      </c>
      <c r="D77" s="18"/>
      <c r="E77" s="12">
        <v>0.3</v>
      </c>
      <c r="F77" s="19">
        <f t="shared" si="4"/>
        <v>0</v>
      </c>
      <c r="G77" s="20">
        <f t="shared" si="5"/>
        <v>0</v>
      </c>
      <c r="H77" s="18"/>
      <c r="I77" s="15">
        <v>0.3</v>
      </c>
      <c r="J77" s="21">
        <f t="shared" si="6"/>
        <v>0</v>
      </c>
      <c r="K77" s="20">
        <f t="shared" si="7"/>
        <v>0</v>
      </c>
    </row>
    <row r="78" spans="1:11" x14ac:dyDescent="0.3">
      <c r="B78" s="1" t="s">
        <v>246</v>
      </c>
      <c r="C78" s="1" t="s">
        <v>340</v>
      </c>
      <c r="D78" s="18"/>
      <c r="E78" s="12">
        <v>0.3</v>
      </c>
      <c r="F78" s="19">
        <f t="shared" si="4"/>
        <v>0</v>
      </c>
      <c r="G78" s="20">
        <f t="shared" si="5"/>
        <v>0</v>
      </c>
      <c r="H78" s="18"/>
      <c r="I78" s="15">
        <v>0.3</v>
      </c>
      <c r="J78" s="21">
        <f t="shared" si="6"/>
        <v>0</v>
      </c>
      <c r="K78" s="20">
        <f t="shared" si="7"/>
        <v>0</v>
      </c>
    </row>
    <row r="79" spans="1:11" x14ac:dyDescent="0.3">
      <c r="B79" s="1" t="s">
        <v>254</v>
      </c>
      <c r="C79" s="1" t="s">
        <v>341</v>
      </c>
      <c r="D79" s="18"/>
      <c r="E79" s="12">
        <v>0.3</v>
      </c>
      <c r="F79" s="19">
        <f t="shared" si="4"/>
        <v>0</v>
      </c>
      <c r="G79" s="20">
        <f t="shared" si="5"/>
        <v>0</v>
      </c>
      <c r="H79" s="18"/>
      <c r="I79" s="15">
        <v>0.3</v>
      </c>
      <c r="J79" s="21">
        <f t="shared" si="6"/>
        <v>0</v>
      </c>
      <c r="K79" s="20">
        <f t="shared" si="7"/>
        <v>0</v>
      </c>
    </row>
    <row r="80" spans="1:11" x14ac:dyDescent="0.3">
      <c r="B80" s="1" t="s">
        <v>63</v>
      </c>
      <c r="C80" s="1" t="s">
        <v>1440</v>
      </c>
      <c r="D80" s="18"/>
      <c r="E80" s="12">
        <v>0.3</v>
      </c>
      <c r="F80" s="19">
        <f t="shared" si="4"/>
        <v>0</v>
      </c>
      <c r="G80" s="20">
        <f t="shared" si="5"/>
        <v>0</v>
      </c>
      <c r="H80" s="18"/>
      <c r="I80" s="15">
        <v>0.3</v>
      </c>
      <c r="J80" s="21">
        <f t="shared" si="6"/>
        <v>0</v>
      </c>
      <c r="K80" s="20">
        <f t="shared" si="7"/>
        <v>0</v>
      </c>
    </row>
    <row r="81" spans="2:11" x14ac:dyDescent="0.3">
      <c r="B81" s="1" t="s">
        <v>64</v>
      </c>
      <c r="C81" s="1" t="s">
        <v>342</v>
      </c>
      <c r="D81" s="18"/>
      <c r="E81" s="12">
        <v>0.3</v>
      </c>
      <c r="F81" s="19">
        <f t="shared" si="4"/>
        <v>0</v>
      </c>
      <c r="G81" s="20">
        <f t="shared" si="5"/>
        <v>0</v>
      </c>
      <c r="H81" s="18"/>
      <c r="I81" s="15">
        <v>0.3</v>
      </c>
      <c r="J81" s="21">
        <f t="shared" si="6"/>
        <v>0</v>
      </c>
      <c r="K81" s="20">
        <f t="shared" si="7"/>
        <v>0</v>
      </c>
    </row>
    <row r="82" spans="2:11" x14ac:dyDescent="0.3">
      <c r="B82" s="1" t="s">
        <v>217</v>
      </c>
      <c r="C82" s="1" t="s">
        <v>343</v>
      </c>
      <c r="D82" s="18"/>
      <c r="E82" s="12">
        <v>0.3</v>
      </c>
      <c r="F82" s="19">
        <f t="shared" si="4"/>
        <v>0</v>
      </c>
      <c r="G82" s="20">
        <f t="shared" si="5"/>
        <v>0</v>
      </c>
      <c r="H82" s="18"/>
      <c r="I82" s="15">
        <v>0.3</v>
      </c>
      <c r="J82" s="21">
        <f t="shared" si="6"/>
        <v>0</v>
      </c>
      <c r="K82" s="20">
        <f t="shared" si="7"/>
        <v>0</v>
      </c>
    </row>
    <row r="83" spans="2:11" x14ac:dyDescent="0.3">
      <c r="B83" s="1" t="s">
        <v>216</v>
      </c>
      <c r="C83" s="1" t="s">
        <v>344</v>
      </c>
      <c r="D83" s="18"/>
      <c r="E83" s="12">
        <v>0.3</v>
      </c>
      <c r="F83" s="19">
        <f t="shared" si="4"/>
        <v>0</v>
      </c>
      <c r="G83" s="20">
        <f t="shared" si="5"/>
        <v>0</v>
      </c>
      <c r="H83" s="18"/>
      <c r="I83" s="15">
        <v>0.3</v>
      </c>
      <c r="J83" s="21">
        <f t="shared" si="6"/>
        <v>0</v>
      </c>
      <c r="K83" s="20">
        <f t="shared" si="7"/>
        <v>0</v>
      </c>
    </row>
    <row r="84" spans="2:11" x14ac:dyDescent="0.3">
      <c r="B84" s="1" t="s">
        <v>256</v>
      </c>
      <c r="C84" s="1" t="s">
        <v>345</v>
      </c>
      <c r="D84" s="18"/>
      <c r="E84" s="12">
        <v>0.3</v>
      </c>
      <c r="F84" s="19">
        <f t="shared" si="4"/>
        <v>0</v>
      </c>
      <c r="G84" s="20">
        <f t="shared" si="5"/>
        <v>0</v>
      </c>
      <c r="H84" s="18"/>
      <c r="I84" s="15">
        <v>0.3</v>
      </c>
      <c r="J84" s="21">
        <f t="shared" si="6"/>
        <v>0</v>
      </c>
      <c r="K84" s="20">
        <f t="shared" si="7"/>
        <v>0</v>
      </c>
    </row>
    <row r="85" spans="2:11" x14ac:dyDescent="0.3">
      <c r="B85" s="1" t="s">
        <v>61</v>
      </c>
      <c r="C85" s="1" t="s">
        <v>346</v>
      </c>
      <c r="D85" s="18"/>
      <c r="E85" s="12">
        <v>0.3</v>
      </c>
      <c r="F85" s="19">
        <f t="shared" si="4"/>
        <v>0</v>
      </c>
      <c r="G85" s="20">
        <f t="shared" si="5"/>
        <v>0</v>
      </c>
      <c r="H85" s="18"/>
      <c r="I85" s="15">
        <v>0.3</v>
      </c>
      <c r="J85" s="21">
        <f t="shared" si="6"/>
        <v>0</v>
      </c>
      <c r="K85" s="20">
        <f t="shared" si="7"/>
        <v>0</v>
      </c>
    </row>
    <row r="86" spans="2:11" x14ac:dyDescent="0.3">
      <c r="B86" s="1" t="s">
        <v>62</v>
      </c>
      <c r="C86" s="1" t="s">
        <v>346</v>
      </c>
      <c r="D86" s="18"/>
      <c r="E86" s="12">
        <v>0.3</v>
      </c>
      <c r="F86" s="19">
        <f t="shared" si="4"/>
        <v>0</v>
      </c>
      <c r="G86" s="20">
        <f t="shared" si="5"/>
        <v>0</v>
      </c>
      <c r="H86" s="18"/>
      <c r="I86" s="15">
        <v>0.3</v>
      </c>
      <c r="J86" s="21">
        <f t="shared" si="6"/>
        <v>0</v>
      </c>
      <c r="K86" s="20">
        <f t="shared" si="7"/>
        <v>0</v>
      </c>
    </row>
    <row r="87" spans="2:11" x14ac:dyDescent="0.3">
      <c r="B87" s="1" t="s">
        <v>260</v>
      </c>
      <c r="C87" s="1" t="s">
        <v>347</v>
      </c>
      <c r="D87" s="18"/>
      <c r="E87" s="12">
        <v>0.3</v>
      </c>
      <c r="F87" s="19">
        <f t="shared" si="4"/>
        <v>0</v>
      </c>
      <c r="G87" s="20">
        <f t="shared" si="5"/>
        <v>0</v>
      </c>
      <c r="H87" s="18"/>
      <c r="I87" s="15">
        <v>0.3</v>
      </c>
      <c r="J87" s="21">
        <f t="shared" si="6"/>
        <v>0</v>
      </c>
      <c r="K87" s="20">
        <f t="shared" si="7"/>
        <v>0</v>
      </c>
    </row>
    <row r="88" spans="2:11" x14ac:dyDescent="0.3">
      <c r="B88" s="1" t="s">
        <v>66</v>
      </c>
      <c r="C88" s="1" t="s">
        <v>348</v>
      </c>
      <c r="D88" s="18"/>
      <c r="E88" s="12">
        <v>0.3</v>
      </c>
      <c r="F88" s="19">
        <f t="shared" si="4"/>
        <v>0</v>
      </c>
      <c r="G88" s="20">
        <f t="shared" si="5"/>
        <v>0</v>
      </c>
      <c r="H88" s="18"/>
      <c r="I88" s="15">
        <v>0.3</v>
      </c>
      <c r="J88" s="21">
        <f t="shared" si="6"/>
        <v>0</v>
      </c>
      <c r="K88" s="20">
        <f t="shared" si="7"/>
        <v>0</v>
      </c>
    </row>
    <row r="89" spans="2:11" x14ac:dyDescent="0.3">
      <c r="B89" s="1" t="s">
        <v>215</v>
      </c>
      <c r="C89" s="1" t="s">
        <v>349</v>
      </c>
      <c r="D89" s="18"/>
      <c r="E89" s="12">
        <v>0.3</v>
      </c>
      <c r="F89" s="19">
        <f t="shared" si="4"/>
        <v>0</v>
      </c>
      <c r="G89" s="20">
        <f t="shared" si="5"/>
        <v>0</v>
      </c>
      <c r="H89" s="18"/>
      <c r="I89" s="15">
        <v>0.3</v>
      </c>
      <c r="J89" s="21">
        <f t="shared" si="6"/>
        <v>0</v>
      </c>
      <c r="K89" s="20">
        <f t="shared" si="7"/>
        <v>0</v>
      </c>
    </row>
    <row r="90" spans="2:11" x14ac:dyDescent="0.3">
      <c r="B90" s="1" t="s">
        <v>221</v>
      </c>
      <c r="C90" s="1" t="s">
        <v>291</v>
      </c>
      <c r="D90" s="18"/>
      <c r="E90" s="12">
        <v>0.3</v>
      </c>
      <c r="F90" s="19">
        <f t="shared" si="4"/>
        <v>0</v>
      </c>
      <c r="G90" s="20">
        <f t="shared" si="5"/>
        <v>0</v>
      </c>
      <c r="H90" s="18"/>
      <c r="I90" s="15">
        <v>0.3</v>
      </c>
      <c r="J90" s="21">
        <f t="shared" si="6"/>
        <v>0</v>
      </c>
      <c r="K90" s="20">
        <f t="shared" si="7"/>
        <v>0</v>
      </c>
    </row>
    <row r="91" spans="2:11" x14ac:dyDescent="0.3">
      <c r="B91" s="1" t="s">
        <v>220</v>
      </c>
      <c r="C91" s="1" t="s">
        <v>350</v>
      </c>
      <c r="D91" s="18"/>
      <c r="E91" s="12">
        <v>0.3</v>
      </c>
      <c r="F91" s="19">
        <f t="shared" si="4"/>
        <v>0</v>
      </c>
      <c r="G91" s="20">
        <f t="shared" si="5"/>
        <v>0</v>
      </c>
      <c r="H91" s="18"/>
      <c r="I91" s="15">
        <v>0.3</v>
      </c>
      <c r="J91" s="21">
        <f t="shared" si="6"/>
        <v>0</v>
      </c>
      <c r="K91" s="20">
        <f t="shared" si="7"/>
        <v>0</v>
      </c>
    </row>
    <row r="92" spans="2:11" x14ac:dyDescent="0.3">
      <c r="B92" s="1" t="s">
        <v>241</v>
      </c>
      <c r="C92" s="1" t="s">
        <v>351</v>
      </c>
      <c r="D92" s="18"/>
      <c r="E92" s="12">
        <v>0.3</v>
      </c>
      <c r="F92" s="19">
        <f t="shared" si="4"/>
        <v>0</v>
      </c>
      <c r="G92" s="20">
        <f t="shared" si="5"/>
        <v>0</v>
      </c>
      <c r="H92" s="18"/>
      <c r="I92" s="15">
        <v>0.3</v>
      </c>
      <c r="J92" s="21">
        <f t="shared" si="6"/>
        <v>0</v>
      </c>
      <c r="K92" s="20">
        <f t="shared" si="7"/>
        <v>0</v>
      </c>
    </row>
    <row r="93" spans="2:11" x14ac:dyDescent="0.3">
      <c r="B93" s="1" t="s">
        <v>240</v>
      </c>
      <c r="C93" s="1" t="s">
        <v>352</v>
      </c>
      <c r="D93" s="18"/>
      <c r="E93" s="12">
        <v>0.3</v>
      </c>
      <c r="F93" s="19">
        <f t="shared" si="4"/>
        <v>0</v>
      </c>
      <c r="G93" s="20">
        <f t="shared" si="5"/>
        <v>0</v>
      </c>
      <c r="H93" s="18"/>
      <c r="I93" s="15">
        <v>0.3</v>
      </c>
      <c r="J93" s="21">
        <f t="shared" si="6"/>
        <v>0</v>
      </c>
      <c r="K93" s="20">
        <f t="shared" si="7"/>
        <v>0</v>
      </c>
    </row>
    <row r="94" spans="2:11" x14ac:dyDescent="0.3">
      <c r="B94" s="1" t="s">
        <v>70</v>
      </c>
      <c r="C94" s="1" t="s">
        <v>353</v>
      </c>
      <c r="D94" s="18"/>
      <c r="E94" s="12">
        <v>0.3</v>
      </c>
      <c r="F94" s="19">
        <f t="shared" si="4"/>
        <v>0</v>
      </c>
      <c r="G94" s="20">
        <f t="shared" si="5"/>
        <v>0</v>
      </c>
      <c r="H94" s="18"/>
      <c r="I94" s="15">
        <v>0.3</v>
      </c>
      <c r="J94" s="21">
        <f t="shared" si="6"/>
        <v>0</v>
      </c>
      <c r="K94" s="20">
        <f t="shared" si="7"/>
        <v>0</v>
      </c>
    </row>
    <row r="95" spans="2:11" x14ac:dyDescent="0.3">
      <c r="B95" s="1" t="s">
        <v>71</v>
      </c>
      <c r="C95" s="1" t="s">
        <v>354</v>
      </c>
      <c r="D95" s="18"/>
      <c r="E95" s="12">
        <v>0.3</v>
      </c>
      <c r="F95" s="19">
        <f t="shared" si="4"/>
        <v>0</v>
      </c>
      <c r="G95" s="20">
        <f t="shared" si="5"/>
        <v>0</v>
      </c>
      <c r="H95" s="18"/>
      <c r="I95" s="15">
        <v>0.3</v>
      </c>
      <c r="J95" s="21">
        <f t="shared" si="6"/>
        <v>0</v>
      </c>
      <c r="K95" s="20">
        <f t="shared" si="7"/>
        <v>0</v>
      </c>
    </row>
    <row r="96" spans="2:11" x14ac:dyDescent="0.3">
      <c r="B96" s="1" t="s">
        <v>69</v>
      </c>
      <c r="C96" s="1" t="s">
        <v>355</v>
      </c>
      <c r="D96" s="18"/>
      <c r="E96" s="12">
        <v>0.3</v>
      </c>
      <c r="F96" s="19">
        <f t="shared" si="4"/>
        <v>0</v>
      </c>
      <c r="G96" s="20">
        <f t="shared" si="5"/>
        <v>0</v>
      </c>
      <c r="H96" s="18"/>
      <c r="I96" s="15">
        <v>0.3</v>
      </c>
      <c r="J96" s="21">
        <f t="shared" si="6"/>
        <v>0</v>
      </c>
      <c r="K96" s="20">
        <f t="shared" si="7"/>
        <v>0</v>
      </c>
    </row>
    <row r="97" spans="1:11" x14ac:dyDescent="0.3">
      <c r="B97" s="1" t="s">
        <v>244</v>
      </c>
      <c r="C97" s="1" t="s">
        <v>352</v>
      </c>
      <c r="D97" s="18"/>
      <c r="E97" s="12">
        <v>0.3</v>
      </c>
      <c r="F97" s="19">
        <f t="shared" si="4"/>
        <v>0</v>
      </c>
      <c r="G97" s="20">
        <f t="shared" si="5"/>
        <v>0</v>
      </c>
      <c r="H97" s="18"/>
      <c r="I97" s="15">
        <v>0.3</v>
      </c>
      <c r="J97" s="21">
        <f t="shared" si="6"/>
        <v>0</v>
      </c>
      <c r="K97" s="20">
        <f t="shared" si="7"/>
        <v>0</v>
      </c>
    </row>
    <row r="98" spans="1:11" x14ac:dyDescent="0.3">
      <c r="B98" s="1" t="s">
        <v>243</v>
      </c>
      <c r="C98" s="1" t="s">
        <v>356</v>
      </c>
      <c r="D98" s="18"/>
      <c r="E98" s="12">
        <v>0.3</v>
      </c>
      <c r="F98" s="19">
        <f t="shared" si="4"/>
        <v>0</v>
      </c>
      <c r="G98" s="20">
        <f t="shared" si="5"/>
        <v>0</v>
      </c>
      <c r="H98" s="18"/>
      <c r="I98" s="15">
        <v>0.3</v>
      </c>
      <c r="J98" s="21">
        <f t="shared" si="6"/>
        <v>0</v>
      </c>
      <c r="K98" s="20">
        <f t="shared" si="7"/>
        <v>0</v>
      </c>
    </row>
    <row r="99" spans="1:11" x14ac:dyDescent="0.3">
      <c r="B99" s="1" t="s">
        <v>242</v>
      </c>
      <c r="C99" s="1" t="s">
        <v>357</v>
      </c>
      <c r="D99" s="18"/>
      <c r="E99" s="12">
        <v>0.3</v>
      </c>
      <c r="F99" s="19">
        <f t="shared" si="4"/>
        <v>0</v>
      </c>
      <c r="G99" s="20">
        <f t="shared" si="5"/>
        <v>0</v>
      </c>
      <c r="H99" s="18"/>
      <c r="I99" s="15">
        <v>0.3</v>
      </c>
      <c r="J99" s="21">
        <f t="shared" si="6"/>
        <v>0</v>
      </c>
      <c r="K99" s="20">
        <f t="shared" si="7"/>
        <v>0</v>
      </c>
    </row>
    <row r="100" spans="1:11" x14ac:dyDescent="0.3">
      <c r="B100" s="1" t="s">
        <v>248</v>
      </c>
      <c r="C100" s="1" t="s">
        <v>358</v>
      </c>
      <c r="D100" s="18"/>
      <c r="E100" s="12">
        <v>0.3</v>
      </c>
      <c r="F100" s="19">
        <f t="shared" si="4"/>
        <v>0</v>
      </c>
      <c r="G100" s="20">
        <f t="shared" si="5"/>
        <v>0</v>
      </c>
      <c r="H100" s="18"/>
      <c r="I100" s="15">
        <v>0.3</v>
      </c>
      <c r="J100" s="21">
        <f t="shared" si="6"/>
        <v>0</v>
      </c>
      <c r="K100" s="20">
        <f t="shared" si="7"/>
        <v>0</v>
      </c>
    </row>
    <row r="101" spans="1:11" x14ac:dyDescent="0.3">
      <c r="B101" s="1" t="s">
        <v>247</v>
      </c>
      <c r="C101" s="1" t="s">
        <v>359</v>
      </c>
      <c r="D101" s="18"/>
      <c r="E101" s="12">
        <v>0.3</v>
      </c>
      <c r="F101" s="19">
        <f t="shared" si="4"/>
        <v>0</v>
      </c>
      <c r="G101" s="20">
        <f t="shared" si="5"/>
        <v>0</v>
      </c>
      <c r="H101" s="18"/>
      <c r="I101" s="15">
        <v>0.3</v>
      </c>
      <c r="J101" s="21">
        <f t="shared" si="6"/>
        <v>0</v>
      </c>
      <c r="K101" s="20">
        <f t="shared" si="7"/>
        <v>0</v>
      </c>
    </row>
    <row r="102" spans="1:11" x14ac:dyDescent="0.3">
      <c r="B102" s="1" t="s">
        <v>250</v>
      </c>
      <c r="C102" s="1" t="s">
        <v>360</v>
      </c>
      <c r="D102" s="18"/>
      <c r="E102" s="12">
        <v>0.3</v>
      </c>
      <c r="F102" s="19">
        <f t="shared" si="4"/>
        <v>0</v>
      </c>
      <c r="G102" s="20">
        <f t="shared" si="5"/>
        <v>0</v>
      </c>
      <c r="H102" s="18"/>
      <c r="I102" s="15">
        <v>0.3</v>
      </c>
      <c r="J102" s="21">
        <f t="shared" si="6"/>
        <v>0</v>
      </c>
      <c r="K102" s="20">
        <f t="shared" si="7"/>
        <v>0</v>
      </c>
    </row>
    <row r="103" spans="1:11" x14ac:dyDescent="0.3">
      <c r="B103" s="1" t="s">
        <v>245</v>
      </c>
      <c r="C103" s="1" t="s">
        <v>361</v>
      </c>
      <c r="D103" s="18"/>
      <c r="E103" s="12">
        <v>0.3</v>
      </c>
      <c r="F103" s="19">
        <f t="shared" si="4"/>
        <v>0</v>
      </c>
      <c r="G103" s="20">
        <f t="shared" si="5"/>
        <v>0</v>
      </c>
      <c r="H103" s="18"/>
      <c r="I103" s="15">
        <v>0.3</v>
      </c>
      <c r="J103" s="21">
        <f t="shared" si="6"/>
        <v>0</v>
      </c>
      <c r="K103" s="20">
        <f t="shared" si="7"/>
        <v>0</v>
      </c>
    </row>
    <row r="104" spans="1:11" x14ac:dyDescent="0.3">
      <c r="B104" s="1" t="s">
        <v>249</v>
      </c>
      <c r="C104" s="1" t="s">
        <v>362</v>
      </c>
      <c r="D104" s="18"/>
      <c r="E104" s="12">
        <v>0.3</v>
      </c>
      <c r="F104" s="19">
        <f t="shared" si="4"/>
        <v>0</v>
      </c>
      <c r="G104" s="20">
        <f t="shared" si="5"/>
        <v>0</v>
      </c>
      <c r="H104" s="18"/>
      <c r="I104" s="15">
        <v>0.3</v>
      </c>
      <c r="J104" s="21">
        <f t="shared" si="6"/>
        <v>0</v>
      </c>
      <c r="K104" s="20">
        <f t="shared" si="7"/>
        <v>0</v>
      </c>
    </row>
    <row r="105" spans="1:11" x14ac:dyDescent="0.3">
      <c r="B105" s="1" t="s">
        <v>67</v>
      </c>
      <c r="C105" s="1" t="s">
        <v>363</v>
      </c>
      <c r="D105" s="18"/>
      <c r="E105" s="12">
        <v>0.3</v>
      </c>
      <c r="F105" s="19">
        <f t="shared" si="4"/>
        <v>0</v>
      </c>
      <c r="G105" s="20">
        <f t="shared" si="5"/>
        <v>0</v>
      </c>
      <c r="H105" s="18"/>
      <c r="I105" s="15">
        <v>0.3</v>
      </c>
      <c r="J105" s="21">
        <f t="shared" si="6"/>
        <v>0</v>
      </c>
      <c r="K105" s="20">
        <f t="shared" si="7"/>
        <v>0</v>
      </c>
    </row>
    <row r="106" spans="1:11" x14ac:dyDescent="0.3">
      <c r="B106" s="1" t="s">
        <v>68</v>
      </c>
      <c r="C106" s="1" t="s">
        <v>364</v>
      </c>
      <c r="D106" s="18"/>
      <c r="E106" s="12">
        <v>0.3</v>
      </c>
      <c r="F106" s="19">
        <f t="shared" si="4"/>
        <v>0</v>
      </c>
      <c r="G106" s="20">
        <f t="shared" si="5"/>
        <v>0</v>
      </c>
      <c r="H106" s="18"/>
      <c r="I106" s="15">
        <v>0.3</v>
      </c>
      <c r="J106" s="21">
        <f t="shared" si="6"/>
        <v>0</v>
      </c>
      <c r="K106" s="20">
        <f t="shared" si="7"/>
        <v>0</v>
      </c>
    </row>
    <row r="107" spans="1:11" x14ac:dyDescent="0.3">
      <c r="A107" s="1">
        <v>1</v>
      </c>
      <c r="B107" s="1" t="s">
        <v>72</v>
      </c>
      <c r="C107" s="1" t="s">
        <v>365</v>
      </c>
      <c r="D107" s="18">
        <v>102</v>
      </c>
      <c r="E107" s="12">
        <v>0.3</v>
      </c>
      <c r="F107" s="19">
        <f t="shared" si="4"/>
        <v>145.71428571428572</v>
      </c>
      <c r="G107" s="20">
        <f t="shared" si="5"/>
        <v>43.714285714285722</v>
      </c>
      <c r="H107" s="18">
        <v>115</v>
      </c>
      <c r="I107" s="15">
        <v>0.3</v>
      </c>
      <c r="J107" s="21">
        <f t="shared" si="6"/>
        <v>164.28571428571431</v>
      </c>
      <c r="K107" s="20">
        <f t="shared" si="7"/>
        <v>49.285714285714306</v>
      </c>
    </row>
    <row r="108" spans="1:11" x14ac:dyDescent="0.3">
      <c r="B108" s="1" t="s">
        <v>73</v>
      </c>
      <c r="C108" s="1" t="s">
        <v>366</v>
      </c>
      <c r="D108" s="18"/>
      <c r="E108" s="12">
        <v>0.3</v>
      </c>
      <c r="F108" s="19">
        <f t="shared" si="4"/>
        <v>0</v>
      </c>
      <c r="G108" s="20">
        <f t="shared" si="5"/>
        <v>0</v>
      </c>
      <c r="H108" s="18"/>
      <c r="I108" s="15">
        <v>0.3</v>
      </c>
      <c r="J108" s="21">
        <f t="shared" si="6"/>
        <v>0</v>
      </c>
      <c r="K108" s="20">
        <f t="shared" si="7"/>
        <v>0</v>
      </c>
    </row>
    <row r="109" spans="1:11" x14ac:dyDescent="0.3">
      <c r="B109" s="1" t="s">
        <v>78</v>
      </c>
      <c r="C109" s="1" t="s">
        <v>367</v>
      </c>
      <c r="D109" s="18"/>
      <c r="E109" s="12">
        <v>0.3</v>
      </c>
      <c r="F109" s="19">
        <f t="shared" si="4"/>
        <v>0</v>
      </c>
      <c r="G109" s="20">
        <f t="shared" si="5"/>
        <v>0</v>
      </c>
      <c r="H109" s="18"/>
      <c r="I109" s="15">
        <v>0.3</v>
      </c>
      <c r="J109" s="21">
        <f t="shared" si="6"/>
        <v>0</v>
      </c>
      <c r="K109" s="20">
        <f t="shared" si="7"/>
        <v>0</v>
      </c>
    </row>
    <row r="110" spans="1:11" x14ac:dyDescent="0.3">
      <c r="B110" s="1" t="s">
        <v>219</v>
      </c>
      <c r="C110" s="1" t="s">
        <v>368</v>
      </c>
      <c r="D110" s="18"/>
      <c r="E110" s="12">
        <v>0.3</v>
      </c>
      <c r="F110" s="19">
        <f t="shared" si="4"/>
        <v>0</v>
      </c>
      <c r="G110" s="20">
        <f t="shared" si="5"/>
        <v>0</v>
      </c>
      <c r="H110" s="18"/>
      <c r="I110" s="15">
        <v>0.3</v>
      </c>
      <c r="J110" s="21">
        <f t="shared" si="6"/>
        <v>0</v>
      </c>
      <c r="K110" s="20">
        <f t="shared" si="7"/>
        <v>0</v>
      </c>
    </row>
    <row r="111" spans="1:11" x14ac:dyDescent="0.3">
      <c r="B111" s="1" t="s">
        <v>79</v>
      </c>
      <c r="C111" s="1" t="s">
        <v>369</v>
      </c>
      <c r="D111" s="18">
        <v>75</v>
      </c>
      <c r="E111" s="12">
        <v>0.3</v>
      </c>
      <c r="F111" s="19">
        <f t="shared" si="4"/>
        <v>107.14285714285715</v>
      </c>
      <c r="G111" s="20">
        <f t="shared" si="5"/>
        <v>32.142857142857153</v>
      </c>
      <c r="H111" s="18"/>
      <c r="I111" s="15">
        <v>0.3</v>
      </c>
      <c r="J111" s="21">
        <f t="shared" si="6"/>
        <v>0</v>
      </c>
      <c r="K111" s="20">
        <f t="shared" si="7"/>
        <v>0</v>
      </c>
    </row>
    <row r="112" spans="1:11" x14ac:dyDescent="0.3">
      <c r="B112" s="1" t="s">
        <v>80</v>
      </c>
      <c r="C112" s="1" t="s">
        <v>370</v>
      </c>
      <c r="D112" s="18"/>
      <c r="E112" s="12">
        <v>0.3</v>
      </c>
      <c r="F112" s="19">
        <f t="shared" si="4"/>
        <v>0</v>
      </c>
      <c r="G112" s="20">
        <f t="shared" si="5"/>
        <v>0</v>
      </c>
      <c r="H112" s="18"/>
      <c r="I112" s="15">
        <v>0.3</v>
      </c>
      <c r="J112" s="21">
        <f t="shared" si="6"/>
        <v>0</v>
      </c>
      <c r="K112" s="20">
        <f t="shared" si="7"/>
        <v>0</v>
      </c>
    </row>
    <row r="113" spans="1:13" x14ac:dyDescent="0.3">
      <c r="B113" s="1" t="s">
        <v>81</v>
      </c>
      <c r="C113" s="1" t="s">
        <v>371</v>
      </c>
      <c r="D113" s="18">
        <v>75</v>
      </c>
      <c r="E113" s="12">
        <v>0.3</v>
      </c>
      <c r="F113" s="19">
        <f t="shared" si="4"/>
        <v>107.14285714285715</v>
      </c>
      <c r="G113" s="20">
        <f t="shared" si="5"/>
        <v>32.142857142857153</v>
      </c>
      <c r="H113" s="18"/>
      <c r="I113" s="15">
        <v>0.3</v>
      </c>
      <c r="J113" s="21">
        <f t="shared" si="6"/>
        <v>0</v>
      </c>
      <c r="K113" s="20">
        <f t="shared" si="7"/>
        <v>0</v>
      </c>
      <c r="M113" s="17">
        <v>125</v>
      </c>
    </row>
    <row r="114" spans="1:13" ht="14.25" customHeight="1" x14ac:dyDescent="0.3">
      <c r="B114" s="1" t="s">
        <v>76</v>
      </c>
      <c r="C114" s="1" t="s">
        <v>372</v>
      </c>
      <c r="D114" s="18">
        <v>75</v>
      </c>
      <c r="E114" s="12">
        <v>0.3</v>
      </c>
      <c r="F114" s="19">
        <f t="shared" si="4"/>
        <v>107.14285714285715</v>
      </c>
      <c r="G114" s="20">
        <f t="shared" si="5"/>
        <v>32.142857142857153</v>
      </c>
      <c r="H114" s="18">
        <v>86</v>
      </c>
      <c r="I114" s="15">
        <v>0.3</v>
      </c>
      <c r="J114" s="21">
        <f t="shared" si="6"/>
        <v>122.85714285714286</v>
      </c>
      <c r="K114" s="20">
        <f t="shared" si="7"/>
        <v>36.857142857142861</v>
      </c>
    </row>
    <row r="115" spans="1:13" x14ac:dyDescent="0.3">
      <c r="B115" s="1" t="s">
        <v>232</v>
      </c>
      <c r="C115" s="1" t="s">
        <v>373</v>
      </c>
      <c r="D115" s="18"/>
      <c r="E115" s="12">
        <v>0.3</v>
      </c>
      <c r="F115" s="19">
        <f t="shared" si="4"/>
        <v>0</v>
      </c>
      <c r="G115" s="20">
        <f t="shared" si="5"/>
        <v>0</v>
      </c>
      <c r="H115" s="18"/>
      <c r="I115" s="15">
        <v>0.3</v>
      </c>
      <c r="J115" s="21">
        <f t="shared" si="6"/>
        <v>0</v>
      </c>
      <c r="K115" s="20">
        <f t="shared" si="7"/>
        <v>0</v>
      </c>
    </row>
    <row r="116" spans="1:13" x14ac:dyDescent="0.3">
      <c r="B116" s="1" t="s">
        <v>77</v>
      </c>
      <c r="C116" s="1" t="s">
        <v>374</v>
      </c>
      <c r="D116" s="18"/>
      <c r="E116" s="12">
        <v>0.3</v>
      </c>
      <c r="F116" s="19">
        <f t="shared" si="4"/>
        <v>0</v>
      </c>
      <c r="G116" s="20">
        <f t="shared" si="5"/>
        <v>0</v>
      </c>
      <c r="H116" s="18"/>
      <c r="I116" s="15">
        <v>0.3</v>
      </c>
      <c r="J116" s="21">
        <f t="shared" si="6"/>
        <v>0</v>
      </c>
      <c r="K116" s="20">
        <f t="shared" si="7"/>
        <v>0</v>
      </c>
    </row>
    <row r="117" spans="1:13" x14ac:dyDescent="0.3">
      <c r="B117" s="1" t="s">
        <v>235</v>
      </c>
      <c r="C117" s="1" t="s">
        <v>375</v>
      </c>
      <c r="D117" s="18"/>
      <c r="E117" s="12">
        <v>0.3</v>
      </c>
      <c r="F117" s="19">
        <f t="shared" si="4"/>
        <v>0</v>
      </c>
      <c r="G117" s="20">
        <f t="shared" si="5"/>
        <v>0</v>
      </c>
      <c r="H117" s="18"/>
      <c r="I117" s="15">
        <v>0.3</v>
      </c>
      <c r="J117" s="21">
        <f t="shared" si="6"/>
        <v>0</v>
      </c>
      <c r="K117" s="20">
        <f t="shared" si="7"/>
        <v>0</v>
      </c>
    </row>
    <row r="118" spans="1:13" x14ac:dyDescent="0.3">
      <c r="B118" s="1" t="s">
        <v>234</v>
      </c>
      <c r="C118" s="1" t="s">
        <v>376</v>
      </c>
      <c r="D118" s="18"/>
      <c r="E118" s="12">
        <v>0.3</v>
      </c>
      <c r="F118" s="19">
        <f t="shared" si="4"/>
        <v>0</v>
      </c>
      <c r="G118" s="20">
        <f t="shared" si="5"/>
        <v>0</v>
      </c>
      <c r="H118" s="18"/>
      <c r="I118" s="15">
        <v>0.3</v>
      </c>
      <c r="J118" s="21">
        <f t="shared" si="6"/>
        <v>0</v>
      </c>
      <c r="K118" s="20">
        <f t="shared" si="7"/>
        <v>0</v>
      </c>
    </row>
    <row r="119" spans="1:13" x14ac:dyDescent="0.3">
      <c r="B119" s="1" t="s">
        <v>225</v>
      </c>
      <c r="C119" s="1" t="s">
        <v>377</v>
      </c>
      <c r="D119" s="18"/>
      <c r="E119" s="12">
        <v>0.3</v>
      </c>
      <c r="F119" s="19">
        <f t="shared" si="4"/>
        <v>0</v>
      </c>
      <c r="G119" s="20">
        <f t="shared" si="5"/>
        <v>0</v>
      </c>
      <c r="H119" s="18"/>
      <c r="I119" s="15">
        <v>0.3</v>
      </c>
      <c r="J119" s="21">
        <f t="shared" si="6"/>
        <v>0</v>
      </c>
      <c r="K119" s="20">
        <f t="shared" si="7"/>
        <v>0</v>
      </c>
    </row>
    <row r="120" spans="1:13" x14ac:dyDescent="0.3">
      <c r="B120" s="1" t="s">
        <v>223</v>
      </c>
      <c r="C120" s="1" t="s">
        <v>378</v>
      </c>
      <c r="D120" s="18"/>
      <c r="E120" s="12">
        <v>0.3</v>
      </c>
      <c r="F120" s="19">
        <f t="shared" si="4"/>
        <v>0</v>
      </c>
      <c r="G120" s="20">
        <f t="shared" si="5"/>
        <v>0</v>
      </c>
      <c r="H120" s="18"/>
      <c r="I120" s="15">
        <v>0.3</v>
      </c>
      <c r="J120" s="21">
        <f t="shared" si="6"/>
        <v>0</v>
      </c>
      <c r="K120" s="20">
        <f t="shared" si="7"/>
        <v>0</v>
      </c>
    </row>
    <row r="121" spans="1:13" x14ac:dyDescent="0.3">
      <c r="B121" s="1" t="s">
        <v>89</v>
      </c>
      <c r="C121" s="1" t="s">
        <v>379</v>
      </c>
      <c r="D121" s="18"/>
      <c r="E121" s="12">
        <v>0.3</v>
      </c>
      <c r="F121" s="19">
        <f t="shared" si="4"/>
        <v>0</v>
      </c>
      <c r="G121" s="20">
        <f t="shared" si="5"/>
        <v>0</v>
      </c>
      <c r="H121" s="18"/>
      <c r="I121" s="15">
        <v>0.3</v>
      </c>
      <c r="J121" s="21">
        <f t="shared" si="6"/>
        <v>0</v>
      </c>
      <c r="K121" s="20">
        <f t="shared" si="7"/>
        <v>0</v>
      </c>
    </row>
    <row r="122" spans="1:13" x14ac:dyDescent="0.3">
      <c r="B122" s="1" t="s">
        <v>222</v>
      </c>
      <c r="C122" s="1" t="s">
        <v>380</v>
      </c>
      <c r="D122" s="18"/>
      <c r="E122" s="12">
        <v>0.3</v>
      </c>
      <c r="F122" s="19">
        <f t="shared" si="4"/>
        <v>0</v>
      </c>
      <c r="G122" s="20">
        <f t="shared" si="5"/>
        <v>0</v>
      </c>
      <c r="H122" s="18"/>
      <c r="I122" s="15">
        <v>0.3</v>
      </c>
      <c r="J122" s="21">
        <f t="shared" si="6"/>
        <v>0</v>
      </c>
      <c r="K122" s="20">
        <f t="shared" si="7"/>
        <v>0</v>
      </c>
    </row>
    <row r="123" spans="1:13" x14ac:dyDescent="0.3">
      <c r="B123" s="1" t="s">
        <v>88</v>
      </c>
      <c r="C123" s="1" t="s">
        <v>381</v>
      </c>
      <c r="D123" s="18"/>
      <c r="E123" s="12">
        <v>0.3</v>
      </c>
      <c r="F123" s="19">
        <f t="shared" si="4"/>
        <v>0</v>
      </c>
      <c r="G123" s="20">
        <f t="shared" si="5"/>
        <v>0</v>
      </c>
      <c r="H123" s="18"/>
      <c r="I123" s="15">
        <v>0.3</v>
      </c>
      <c r="J123" s="21">
        <f t="shared" si="6"/>
        <v>0</v>
      </c>
      <c r="K123" s="20">
        <f t="shared" si="7"/>
        <v>0</v>
      </c>
    </row>
    <row r="124" spans="1:13" x14ac:dyDescent="0.3">
      <c r="B124" s="1" t="s">
        <v>90</v>
      </c>
      <c r="C124" s="1" t="s">
        <v>382</v>
      </c>
      <c r="D124" s="18"/>
      <c r="E124" s="12">
        <v>0.3</v>
      </c>
      <c r="F124" s="19">
        <f t="shared" si="4"/>
        <v>0</v>
      </c>
      <c r="G124" s="20">
        <f t="shared" si="5"/>
        <v>0</v>
      </c>
      <c r="H124" s="18"/>
      <c r="I124" s="15">
        <v>0.3</v>
      </c>
      <c r="J124" s="21">
        <f t="shared" si="6"/>
        <v>0</v>
      </c>
      <c r="K124" s="20">
        <f t="shared" si="7"/>
        <v>0</v>
      </c>
    </row>
    <row r="125" spans="1:13" x14ac:dyDescent="0.3">
      <c r="B125" s="1" t="s">
        <v>199</v>
      </c>
      <c r="C125" s="1" t="s">
        <v>383</v>
      </c>
      <c r="D125" s="18"/>
      <c r="E125" s="12">
        <v>0.3</v>
      </c>
      <c r="F125" s="19">
        <f t="shared" si="4"/>
        <v>0</v>
      </c>
      <c r="G125" s="20">
        <f t="shared" si="5"/>
        <v>0</v>
      </c>
      <c r="H125" s="18"/>
      <c r="I125" s="15">
        <v>0.3</v>
      </c>
      <c r="J125" s="21">
        <f t="shared" si="6"/>
        <v>0</v>
      </c>
      <c r="K125" s="20">
        <f t="shared" si="7"/>
        <v>0</v>
      </c>
    </row>
    <row r="126" spans="1:13" x14ac:dyDescent="0.3">
      <c r="B126" s="1" t="s">
        <v>87</v>
      </c>
      <c r="C126" s="1" t="s">
        <v>384</v>
      </c>
      <c r="D126" s="18"/>
      <c r="E126" s="12">
        <v>0.3</v>
      </c>
      <c r="F126" s="19">
        <f t="shared" si="4"/>
        <v>0</v>
      </c>
      <c r="G126" s="20">
        <f t="shared" si="5"/>
        <v>0</v>
      </c>
      <c r="H126" s="18"/>
      <c r="I126" s="15">
        <v>0.3</v>
      </c>
      <c r="J126" s="21">
        <f t="shared" si="6"/>
        <v>0</v>
      </c>
      <c r="K126" s="20">
        <f t="shared" si="7"/>
        <v>0</v>
      </c>
    </row>
    <row r="127" spans="1:13" x14ac:dyDescent="0.3">
      <c r="B127" s="1" t="s">
        <v>202</v>
      </c>
      <c r="C127" s="1" t="s">
        <v>385</v>
      </c>
      <c r="D127" s="18"/>
      <c r="E127" s="12">
        <v>0.3</v>
      </c>
      <c r="F127" s="19">
        <f t="shared" si="4"/>
        <v>0</v>
      </c>
      <c r="G127" s="20">
        <f t="shared" si="5"/>
        <v>0</v>
      </c>
      <c r="H127" s="18"/>
      <c r="I127" s="15">
        <v>0.3</v>
      </c>
      <c r="J127" s="21">
        <f t="shared" si="6"/>
        <v>0</v>
      </c>
      <c r="K127" s="20">
        <f t="shared" si="7"/>
        <v>0</v>
      </c>
    </row>
    <row r="128" spans="1:13" x14ac:dyDescent="0.3">
      <c r="A128" s="1">
        <v>1</v>
      </c>
      <c r="B128" s="1" t="s">
        <v>198</v>
      </c>
      <c r="C128" s="1" t="s">
        <v>386</v>
      </c>
      <c r="D128" s="18">
        <v>73</v>
      </c>
      <c r="E128" s="12">
        <v>0.3</v>
      </c>
      <c r="F128" s="19">
        <f t="shared" si="4"/>
        <v>104.28571428571429</v>
      </c>
      <c r="G128" s="20">
        <f t="shared" si="5"/>
        <v>31.285714285714292</v>
      </c>
      <c r="H128" s="18">
        <v>83</v>
      </c>
      <c r="I128" s="15">
        <v>0.3</v>
      </c>
      <c r="J128" s="21">
        <f t="shared" si="6"/>
        <v>118.57142857142858</v>
      </c>
      <c r="K128" s="20">
        <f t="shared" si="7"/>
        <v>35.571428571428584</v>
      </c>
    </row>
    <row r="129" spans="1:11" x14ac:dyDescent="0.3">
      <c r="A129" s="1">
        <v>2</v>
      </c>
      <c r="B129" s="1" t="s">
        <v>82</v>
      </c>
      <c r="C129" s="1" t="s">
        <v>387</v>
      </c>
      <c r="D129" s="18">
        <v>79</v>
      </c>
      <c r="E129" s="12">
        <v>0.3</v>
      </c>
      <c r="F129" s="19">
        <f t="shared" si="4"/>
        <v>112.85714285714286</v>
      </c>
      <c r="G129" s="20">
        <f t="shared" si="5"/>
        <v>33.857142857142861</v>
      </c>
      <c r="H129" s="18">
        <v>92</v>
      </c>
      <c r="I129" s="15">
        <v>0.3</v>
      </c>
      <c r="J129" s="21">
        <f t="shared" si="6"/>
        <v>131.42857142857144</v>
      </c>
      <c r="K129" s="20">
        <f t="shared" si="7"/>
        <v>39.428571428571445</v>
      </c>
    </row>
    <row r="130" spans="1:11" x14ac:dyDescent="0.3">
      <c r="B130" s="1" t="s">
        <v>201</v>
      </c>
      <c r="C130" s="1" t="s">
        <v>388</v>
      </c>
      <c r="D130" s="18"/>
      <c r="E130" s="12">
        <v>0.3</v>
      </c>
      <c r="F130" s="19">
        <f t="shared" si="4"/>
        <v>0</v>
      </c>
      <c r="G130" s="20">
        <f t="shared" si="5"/>
        <v>0</v>
      </c>
      <c r="H130" s="18"/>
      <c r="I130" s="15">
        <v>0.3</v>
      </c>
      <c r="J130" s="21">
        <f t="shared" si="6"/>
        <v>0</v>
      </c>
      <c r="K130" s="20">
        <f t="shared" si="7"/>
        <v>0</v>
      </c>
    </row>
    <row r="131" spans="1:11" x14ac:dyDescent="0.3">
      <c r="B131" s="1" t="s">
        <v>83</v>
      </c>
      <c r="C131" s="1" t="s">
        <v>389</v>
      </c>
      <c r="D131" s="18"/>
      <c r="E131" s="12">
        <v>0.3</v>
      </c>
      <c r="F131" s="19">
        <f t="shared" ref="F131:F194" si="8">D131/(1-E131)</f>
        <v>0</v>
      </c>
      <c r="G131" s="20">
        <f t="shared" ref="G131:G194" si="9">F131-D131</f>
        <v>0</v>
      </c>
      <c r="H131" s="18"/>
      <c r="I131" s="15">
        <v>0.3</v>
      </c>
      <c r="J131" s="21">
        <f t="shared" ref="J131:J194" si="10">H131/(1-I131)</f>
        <v>0</v>
      </c>
      <c r="K131" s="20">
        <f t="shared" ref="K131:K194" si="11">J131-H131</f>
        <v>0</v>
      </c>
    </row>
    <row r="132" spans="1:11" x14ac:dyDescent="0.3">
      <c r="B132" s="1" t="s">
        <v>200</v>
      </c>
      <c r="C132" s="1" t="s">
        <v>390</v>
      </c>
      <c r="D132" s="18"/>
      <c r="E132" s="12">
        <v>0.3</v>
      </c>
      <c r="F132" s="19">
        <f t="shared" si="8"/>
        <v>0</v>
      </c>
      <c r="G132" s="20">
        <f t="shared" si="9"/>
        <v>0</v>
      </c>
      <c r="H132" s="18"/>
      <c r="I132" s="15">
        <v>0.3</v>
      </c>
      <c r="J132" s="21">
        <f t="shared" si="10"/>
        <v>0</v>
      </c>
      <c r="K132" s="20">
        <f t="shared" si="11"/>
        <v>0</v>
      </c>
    </row>
    <row r="133" spans="1:11" x14ac:dyDescent="0.3">
      <c r="B133" s="1" t="s">
        <v>206</v>
      </c>
      <c r="C133" s="1" t="s">
        <v>391</v>
      </c>
      <c r="D133" s="18"/>
      <c r="E133" s="12">
        <v>0.3</v>
      </c>
      <c r="F133" s="19">
        <f t="shared" si="8"/>
        <v>0</v>
      </c>
      <c r="G133" s="20">
        <f t="shared" si="9"/>
        <v>0</v>
      </c>
      <c r="H133" s="18"/>
      <c r="I133" s="15">
        <v>0.3</v>
      </c>
      <c r="J133" s="21">
        <f t="shared" si="10"/>
        <v>0</v>
      </c>
      <c r="K133" s="20">
        <f t="shared" si="11"/>
        <v>0</v>
      </c>
    </row>
    <row r="134" spans="1:11" x14ac:dyDescent="0.3">
      <c r="B134" s="1" t="s">
        <v>205</v>
      </c>
      <c r="C134" s="1" t="s">
        <v>392</v>
      </c>
      <c r="D134" s="18"/>
      <c r="E134" s="12">
        <v>0.3</v>
      </c>
      <c r="F134" s="19">
        <f t="shared" si="8"/>
        <v>0</v>
      </c>
      <c r="G134" s="20">
        <f t="shared" si="9"/>
        <v>0</v>
      </c>
      <c r="H134" s="18"/>
      <c r="I134" s="15">
        <v>0.3</v>
      </c>
      <c r="J134" s="21">
        <f t="shared" si="10"/>
        <v>0</v>
      </c>
      <c r="K134" s="20">
        <f t="shared" si="11"/>
        <v>0</v>
      </c>
    </row>
    <row r="135" spans="1:11" x14ac:dyDescent="0.3">
      <c r="B135" s="1" t="s">
        <v>204</v>
      </c>
      <c r="C135" s="1" t="s">
        <v>393</v>
      </c>
      <c r="D135" s="18"/>
      <c r="E135" s="12">
        <v>0.3</v>
      </c>
      <c r="F135" s="19">
        <f t="shared" si="8"/>
        <v>0</v>
      </c>
      <c r="G135" s="20">
        <f t="shared" si="9"/>
        <v>0</v>
      </c>
      <c r="H135" s="18"/>
      <c r="I135" s="15">
        <v>0.3</v>
      </c>
      <c r="J135" s="21">
        <f t="shared" si="10"/>
        <v>0</v>
      </c>
      <c r="K135" s="20">
        <f t="shared" si="11"/>
        <v>0</v>
      </c>
    </row>
    <row r="136" spans="1:11" x14ac:dyDescent="0.3">
      <c r="B136" s="1" t="s">
        <v>203</v>
      </c>
      <c r="C136" s="1" t="s">
        <v>394</v>
      </c>
      <c r="D136" s="18"/>
      <c r="E136" s="12">
        <v>0.3</v>
      </c>
      <c r="F136" s="19">
        <f t="shared" si="8"/>
        <v>0</v>
      </c>
      <c r="G136" s="20">
        <f t="shared" si="9"/>
        <v>0</v>
      </c>
      <c r="H136" s="18"/>
      <c r="I136" s="15">
        <v>0.3</v>
      </c>
      <c r="J136" s="21">
        <f t="shared" si="10"/>
        <v>0</v>
      </c>
      <c r="K136" s="20">
        <f t="shared" si="11"/>
        <v>0</v>
      </c>
    </row>
    <row r="137" spans="1:11" x14ac:dyDescent="0.3">
      <c r="B137" s="1" t="s">
        <v>224</v>
      </c>
      <c r="C137" s="1" t="s">
        <v>395</v>
      </c>
      <c r="D137" s="18"/>
      <c r="E137" s="12">
        <v>0.3</v>
      </c>
      <c r="F137" s="19">
        <f t="shared" si="8"/>
        <v>0</v>
      </c>
      <c r="G137" s="20">
        <f t="shared" si="9"/>
        <v>0</v>
      </c>
      <c r="H137" s="18"/>
      <c r="I137" s="15">
        <v>0.3</v>
      </c>
      <c r="J137" s="21">
        <f t="shared" si="10"/>
        <v>0</v>
      </c>
      <c r="K137" s="20">
        <f t="shared" si="11"/>
        <v>0</v>
      </c>
    </row>
    <row r="138" spans="1:11" x14ac:dyDescent="0.3">
      <c r="B138" s="1" t="s">
        <v>85</v>
      </c>
      <c r="C138" s="1" t="s">
        <v>396</v>
      </c>
      <c r="D138" s="18"/>
      <c r="E138" s="12">
        <v>0.3</v>
      </c>
      <c r="F138" s="19">
        <f t="shared" si="8"/>
        <v>0</v>
      </c>
      <c r="G138" s="20">
        <f t="shared" si="9"/>
        <v>0</v>
      </c>
      <c r="H138" s="18"/>
      <c r="I138" s="15">
        <v>0.3</v>
      </c>
      <c r="J138" s="21">
        <f t="shared" si="10"/>
        <v>0</v>
      </c>
      <c r="K138" s="20">
        <f t="shared" si="11"/>
        <v>0</v>
      </c>
    </row>
    <row r="139" spans="1:11" x14ac:dyDescent="0.3">
      <c r="B139" s="1" t="s">
        <v>227</v>
      </c>
      <c r="C139" s="1" t="s">
        <v>397</v>
      </c>
      <c r="D139" s="18">
        <v>78</v>
      </c>
      <c r="E139" s="12">
        <v>0.3</v>
      </c>
      <c r="F139" s="19">
        <f t="shared" si="8"/>
        <v>111.42857142857143</v>
      </c>
      <c r="G139" s="20">
        <f t="shared" si="9"/>
        <v>33.428571428571431</v>
      </c>
      <c r="H139" s="18"/>
      <c r="I139" s="15">
        <v>0.3</v>
      </c>
      <c r="J139" s="21">
        <f t="shared" si="10"/>
        <v>0</v>
      </c>
      <c r="K139" s="20">
        <f t="shared" si="11"/>
        <v>0</v>
      </c>
    </row>
    <row r="140" spans="1:11" x14ac:dyDescent="0.3">
      <c r="B140" s="1" t="s">
        <v>86</v>
      </c>
      <c r="C140" s="1" t="s">
        <v>397</v>
      </c>
      <c r="D140" s="18"/>
      <c r="E140" s="12">
        <v>0.3</v>
      </c>
      <c r="F140" s="19">
        <f t="shared" si="8"/>
        <v>0</v>
      </c>
      <c r="G140" s="20">
        <f t="shared" si="9"/>
        <v>0</v>
      </c>
      <c r="H140" s="18"/>
      <c r="I140" s="15">
        <v>0.3</v>
      </c>
      <c r="J140" s="21">
        <f t="shared" si="10"/>
        <v>0</v>
      </c>
      <c r="K140" s="20">
        <f t="shared" si="11"/>
        <v>0</v>
      </c>
    </row>
    <row r="141" spans="1:11" x14ac:dyDescent="0.3">
      <c r="B141" s="1" t="s">
        <v>226</v>
      </c>
      <c r="C141" s="1" t="s">
        <v>374</v>
      </c>
      <c r="D141" s="18"/>
      <c r="E141" s="12">
        <v>0.3</v>
      </c>
      <c r="F141" s="19">
        <f t="shared" si="8"/>
        <v>0</v>
      </c>
      <c r="G141" s="20">
        <f t="shared" si="9"/>
        <v>0</v>
      </c>
      <c r="H141" s="18"/>
      <c r="I141" s="15">
        <v>0.3</v>
      </c>
      <c r="J141" s="21">
        <f t="shared" si="10"/>
        <v>0</v>
      </c>
      <c r="K141" s="20">
        <f t="shared" si="11"/>
        <v>0</v>
      </c>
    </row>
    <row r="142" spans="1:11" x14ac:dyDescent="0.3">
      <c r="B142" s="1" t="s">
        <v>229</v>
      </c>
      <c r="C142" s="1" t="s">
        <v>398</v>
      </c>
      <c r="D142" s="18"/>
      <c r="E142" s="12">
        <v>0.3</v>
      </c>
      <c r="F142" s="19">
        <f t="shared" si="8"/>
        <v>0</v>
      </c>
      <c r="G142" s="20">
        <f t="shared" si="9"/>
        <v>0</v>
      </c>
      <c r="H142" s="18"/>
      <c r="I142" s="15">
        <v>0.3</v>
      </c>
      <c r="J142" s="21">
        <f t="shared" si="10"/>
        <v>0</v>
      </c>
      <c r="K142" s="20">
        <f t="shared" si="11"/>
        <v>0</v>
      </c>
    </row>
    <row r="143" spans="1:11" x14ac:dyDescent="0.3">
      <c r="B143" s="1" t="s">
        <v>228</v>
      </c>
      <c r="C143" s="1" t="s">
        <v>399</v>
      </c>
      <c r="D143" s="18"/>
      <c r="E143" s="12">
        <v>0.3</v>
      </c>
      <c r="F143" s="19">
        <f t="shared" si="8"/>
        <v>0</v>
      </c>
      <c r="G143" s="20">
        <f t="shared" si="9"/>
        <v>0</v>
      </c>
      <c r="H143" s="18"/>
      <c r="I143" s="15">
        <v>0.3</v>
      </c>
      <c r="J143" s="21">
        <f t="shared" si="10"/>
        <v>0</v>
      </c>
      <c r="K143" s="20">
        <f t="shared" si="11"/>
        <v>0</v>
      </c>
    </row>
    <row r="144" spans="1:11" x14ac:dyDescent="0.3">
      <c r="B144" s="1" t="s">
        <v>84</v>
      </c>
      <c r="C144" s="1" t="s">
        <v>400</v>
      </c>
      <c r="D144" s="18"/>
      <c r="E144" s="12">
        <v>0.3</v>
      </c>
      <c r="F144" s="19">
        <f t="shared" si="8"/>
        <v>0</v>
      </c>
      <c r="G144" s="20">
        <f t="shared" si="9"/>
        <v>0</v>
      </c>
      <c r="H144" s="18"/>
      <c r="I144" s="15">
        <v>0.3</v>
      </c>
      <c r="J144" s="21">
        <f t="shared" si="10"/>
        <v>0</v>
      </c>
      <c r="K144" s="20">
        <f t="shared" si="11"/>
        <v>0</v>
      </c>
    </row>
    <row r="145" spans="1:11" x14ac:dyDescent="0.3">
      <c r="B145" s="1" t="s">
        <v>214</v>
      </c>
      <c r="C145" s="1" t="s">
        <v>401</v>
      </c>
      <c r="D145" s="18"/>
      <c r="E145" s="12">
        <v>0.3</v>
      </c>
      <c r="F145" s="19">
        <f t="shared" si="8"/>
        <v>0</v>
      </c>
      <c r="G145" s="20">
        <f t="shared" si="9"/>
        <v>0</v>
      </c>
      <c r="H145" s="18"/>
      <c r="I145" s="15">
        <v>0.3</v>
      </c>
      <c r="J145" s="21">
        <f t="shared" si="10"/>
        <v>0</v>
      </c>
      <c r="K145" s="20">
        <f t="shared" si="11"/>
        <v>0</v>
      </c>
    </row>
    <row r="146" spans="1:11" x14ac:dyDescent="0.3">
      <c r="B146" s="1" t="s">
        <v>218</v>
      </c>
      <c r="C146" s="1" t="s">
        <v>402</v>
      </c>
      <c r="D146" s="18"/>
      <c r="E146" s="12">
        <v>0.3</v>
      </c>
      <c r="F146" s="19">
        <f t="shared" si="8"/>
        <v>0</v>
      </c>
      <c r="G146" s="20">
        <f t="shared" si="9"/>
        <v>0</v>
      </c>
      <c r="H146" s="18"/>
      <c r="I146" s="15">
        <v>0.3</v>
      </c>
      <c r="J146" s="21">
        <f t="shared" si="10"/>
        <v>0</v>
      </c>
      <c r="K146" s="20">
        <f t="shared" si="11"/>
        <v>0</v>
      </c>
    </row>
    <row r="147" spans="1:11" x14ac:dyDescent="0.3">
      <c r="B147" s="1" t="s">
        <v>212</v>
      </c>
      <c r="C147" s="1" t="s">
        <v>403</v>
      </c>
      <c r="D147" s="18"/>
      <c r="E147" s="12">
        <v>0.3</v>
      </c>
      <c r="F147" s="19">
        <f t="shared" si="8"/>
        <v>0</v>
      </c>
      <c r="G147" s="20">
        <f t="shared" si="9"/>
        <v>0</v>
      </c>
      <c r="H147" s="18"/>
      <c r="I147" s="15">
        <v>0.3</v>
      </c>
      <c r="J147" s="21">
        <f t="shared" si="10"/>
        <v>0</v>
      </c>
      <c r="K147" s="20">
        <f t="shared" si="11"/>
        <v>0</v>
      </c>
    </row>
    <row r="148" spans="1:11" x14ac:dyDescent="0.3">
      <c r="A148" s="1">
        <v>1</v>
      </c>
      <c r="B148" s="1" t="s">
        <v>213</v>
      </c>
      <c r="C148" s="1" t="s">
        <v>404</v>
      </c>
      <c r="D148" s="18">
        <v>76</v>
      </c>
      <c r="E148" s="12">
        <v>0.3</v>
      </c>
      <c r="F148" s="19">
        <f t="shared" si="8"/>
        <v>108.57142857142858</v>
      </c>
      <c r="G148" s="20">
        <f t="shared" si="9"/>
        <v>32.571428571428584</v>
      </c>
      <c r="H148" s="18">
        <v>86</v>
      </c>
      <c r="I148" s="15">
        <v>0.3</v>
      </c>
      <c r="J148" s="21">
        <f t="shared" si="10"/>
        <v>122.85714285714286</v>
      </c>
      <c r="K148" s="20">
        <f t="shared" si="11"/>
        <v>36.857142857142861</v>
      </c>
    </row>
    <row r="149" spans="1:11" x14ac:dyDescent="0.3">
      <c r="B149" s="1" t="s">
        <v>211</v>
      </c>
      <c r="C149" s="1" t="s">
        <v>405</v>
      </c>
      <c r="D149" s="18">
        <v>83</v>
      </c>
      <c r="E149" s="12">
        <v>0.3</v>
      </c>
      <c r="F149" s="19">
        <v>125</v>
      </c>
      <c r="G149" s="20">
        <f t="shared" si="9"/>
        <v>42</v>
      </c>
      <c r="H149" s="18"/>
      <c r="I149" s="15">
        <v>0.3</v>
      </c>
      <c r="J149" s="21">
        <f t="shared" si="10"/>
        <v>0</v>
      </c>
      <c r="K149" s="20">
        <f t="shared" si="11"/>
        <v>0</v>
      </c>
    </row>
    <row r="150" spans="1:11" x14ac:dyDescent="0.3">
      <c r="B150" s="1" t="s">
        <v>210</v>
      </c>
      <c r="C150" s="1" t="s">
        <v>406</v>
      </c>
      <c r="D150" s="18">
        <v>70</v>
      </c>
      <c r="E150" s="12">
        <v>0.3</v>
      </c>
      <c r="F150" s="19">
        <f t="shared" si="8"/>
        <v>100</v>
      </c>
      <c r="G150" s="20">
        <f t="shared" si="9"/>
        <v>30</v>
      </c>
      <c r="H150" s="18">
        <v>80</v>
      </c>
      <c r="I150" s="15">
        <v>0.3</v>
      </c>
      <c r="J150" s="21">
        <f t="shared" si="10"/>
        <v>114.28571428571429</v>
      </c>
      <c r="K150" s="20">
        <f t="shared" si="11"/>
        <v>34.285714285714292</v>
      </c>
    </row>
    <row r="151" spans="1:11" x14ac:dyDescent="0.3">
      <c r="B151" s="1" t="s">
        <v>209</v>
      </c>
      <c r="C151" s="1" t="s">
        <v>407</v>
      </c>
      <c r="D151" s="18" t="s">
        <v>1262</v>
      </c>
      <c r="E151" s="12">
        <v>0.3</v>
      </c>
      <c r="F151" s="19" t="e">
        <f t="shared" si="8"/>
        <v>#VALUE!</v>
      </c>
      <c r="G151" s="20" t="e">
        <f t="shared" si="9"/>
        <v>#VALUE!</v>
      </c>
      <c r="H151" s="18"/>
      <c r="I151" s="15">
        <v>0.3</v>
      </c>
      <c r="J151" s="21">
        <f t="shared" si="10"/>
        <v>0</v>
      </c>
      <c r="K151" s="20">
        <f t="shared" si="11"/>
        <v>0</v>
      </c>
    </row>
    <row r="152" spans="1:11" x14ac:dyDescent="0.3">
      <c r="B152" s="1" t="s">
        <v>207</v>
      </c>
      <c r="C152" s="1" t="s">
        <v>408</v>
      </c>
      <c r="D152" s="18">
        <v>70</v>
      </c>
      <c r="E152" s="12">
        <v>0.3</v>
      </c>
      <c r="F152" s="19">
        <f t="shared" si="8"/>
        <v>100</v>
      </c>
      <c r="G152" s="20">
        <f t="shared" si="9"/>
        <v>30</v>
      </c>
      <c r="H152" s="18">
        <v>79</v>
      </c>
      <c r="I152" s="15">
        <v>0.3</v>
      </c>
      <c r="J152" s="21">
        <f t="shared" si="10"/>
        <v>112.85714285714286</v>
      </c>
      <c r="K152" s="20">
        <f t="shared" si="11"/>
        <v>33.857142857142861</v>
      </c>
    </row>
    <row r="153" spans="1:11" x14ac:dyDescent="0.3">
      <c r="B153" s="1" t="s">
        <v>208</v>
      </c>
      <c r="C153" s="1" t="s">
        <v>409</v>
      </c>
      <c r="D153" s="18"/>
      <c r="E153" s="12">
        <v>0.3</v>
      </c>
      <c r="F153" s="19">
        <f t="shared" si="8"/>
        <v>0</v>
      </c>
      <c r="G153" s="20">
        <f t="shared" si="9"/>
        <v>0</v>
      </c>
      <c r="H153" s="18"/>
      <c r="I153" s="15">
        <v>0.3</v>
      </c>
      <c r="J153" s="21">
        <f t="shared" si="10"/>
        <v>0</v>
      </c>
      <c r="K153" s="20">
        <f t="shared" si="11"/>
        <v>0</v>
      </c>
    </row>
    <row r="154" spans="1:11" x14ac:dyDescent="0.3">
      <c r="B154" s="1" t="s">
        <v>197</v>
      </c>
      <c r="C154" s="1" t="s">
        <v>410</v>
      </c>
      <c r="D154" s="18">
        <v>83</v>
      </c>
      <c r="E154" s="12">
        <v>0.3</v>
      </c>
      <c r="F154" s="19">
        <f t="shared" si="8"/>
        <v>118.57142857142858</v>
      </c>
      <c r="G154" s="20">
        <f t="shared" si="9"/>
        <v>35.571428571428584</v>
      </c>
      <c r="H154" s="18">
        <v>96</v>
      </c>
      <c r="I154" s="15">
        <v>0.3</v>
      </c>
      <c r="J154" s="21">
        <f t="shared" si="10"/>
        <v>137.14285714285714</v>
      </c>
      <c r="K154" s="20">
        <f t="shared" si="11"/>
        <v>41.142857142857139</v>
      </c>
    </row>
    <row r="155" spans="1:11" x14ac:dyDescent="0.3">
      <c r="B155" s="1" t="s">
        <v>196</v>
      </c>
      <c r="C155" s="1" t="s">
        <v>411</v>
      </c>
      <c r="D155" s="18" t="s">
        <v>1287</v>
      </c>
      <c r="E155" s="12">
        <v>0.3</v>
      </c>
      <c r="F155" s="19">
        <v>110</v>
      </c>
      <c r="G155" s="20" t="e">
        <f t="shared" si="9"/>
        <v>#VALUE!</v>
      </c>
      <c r="H155" s="18"/>
      <c r="I155" s="15">
        <v>0.3</v>
      </c>
      <c r="J155" s="21">
        <f t="shared" si="10"/>
        <v>0</v>
      </c>
      <c r="K155" s="20">
        <f t="shared" si="11"/>
        <v>0</v>
      </c>
    </row>
    <row r="156" spans="1:11" x14ac:dyDescent="0.3">
      <c r="B156" s="1" t="s">
        <v>195</v>
      </c>
      <c r="C156" s="1" t="s">
        <v>412</v>
      </c>
      <c r="D156" s="18"/>
      <c r="E156" s="12">
        <v>0.3</v>
      </c>
      <c r="F156" s="19">
        <f t="shared" si="8"/>
        <v>0</v>
      </c>
      <c r="G156" s="20">
        <f t="shared" si="9"/>
        <v>0</v>
      </c>
      <c r="H156" s="18"/>
      <c r="I156" s="15">
        <v>0.3</v>
      </c>
      <c r="J156" s="21">
        <f t="shared" si="10"/>
        <v>0</v>
      </c>
      <c r="K156" s="20">
        <f t="shared" si="11"/>
        <v>0</v>
      </c>
    </row>
    <row r="157" spans="1:11" x14ac:dyDescent="0.3">
      <c r="B157" s="1" t="s">
        <v>259</v>
      </c>
      <c r="C157" s="1" t="s">
        <v>413</v>
      </c>
      <c r="D157" s="18"/>
      <c r="E157" s="12">
        <v>0.3</v>
      </c>
      <c r="F157" s="19">
        <f t="shared" si="8"/>
        <v>0</v>
      </c>
      <c r="G157" s="20">
        <f t="shared" si="9"/>
        <v>0</v>
      </c>
      <c r="H157" s="18"/>
      <c r="I157" s="15">
        <v>0.3</v>
      </c>
      <c r="J157" s="21">
        <f t="shared" si="10"/>
        <v>0</v>
      </c>
      <c r="K157" s="20">
        <f t="shared" si="11"/>
        <v>0</v>
      </c>
    </row>
    <row r="158" spans="1:11" x14ac:dyDescent="0.3">
      <c r="B158" s="1" t="s">
        <v>258</v>
      </c>
      <c r="C158" s="1" t="s">
        <v>414</v>
      </c>
      <c r="D158" s="18">
        <v>88</v>
      </c>
      <c r="E158" s="12">
        <v>0.3</v>
      </c>
      <c r="F158" s="19">
        <f t="shared" si="8"/>
        <v>125.71428571428572</v>
      </c>
      <c r="G158" s="20">
        <f t="shared" si="9"/>
        <v>37.714285714285722</v>
      </c>
      <c r="H158" s="18"/>
      <c r="I158" s="15">
        <v>0.3</v>
      </c>
      <c r="J158" s="21">
        <f t="shared" si="10"/>
        <v>0</v>
      </c>
      <c r="K158" s="20">
        <f t="shared" si="11"/>
        <v>0</v>
      </c>
    </row>
    <row r="159" spans="1:11" x14ac:dyDescent="0.3">
      <c r="B159" s="1" t="s">
        <v>257</v>
      </c>
      <c r="C159" s="1" t="s">
        <v>415</v>
      </c>
      <c r="D159" s="18">
        <v>79</v>
      </c>
      <c r="E159" s="12">
        <v>0.3</v>
      </c>
      <c r="F159" s="19">
        <f t="shared" si="8"/>
        <v>112.85714285714286</v>
      </c>
      <c r="G159" s="20">
        <f t="shared" si="9"/>
        <v>33.857142857142861</v>
      </c>
      <c r="H159" s="18">
        <v>89</v>
      </c>
      <c r="I159" s="15">
        <v>0.3</v>
      </c>
      <c r="J159" s="21">
        <f t="shared" si="10"/>
        <v>127.14285714285715</v>
      </c>
      <c r="K159" s="20">
        <f t="shared" si="11"/>
        <v>38.142857142857153</v>
      </c>
    </row>
    <row r="160" spans="1:11" x14ac:dyDescent="0.3">
      <c r="B160" s="1" t="s">
        <v>261</v>
      </c>
      <c r="C160" s="1" t="s">
        <v>416</v>
      </c>
      <c r="D160" s="18"/>
      <c r="E160" s="12">
        <v>0.3</v>
      </c>
      <c r="F160" s="19">
        <f t="shared" si="8"/>
        <v>0</v>
      </c>
      <c r="G160" s="20">
        <f t="shared" si="9"/>
        <v>0</v>
      </c>
      <c r="H160" s="18"/>
      <c r="I160" s="15">
        <v>0.3</v>
      </c>
      <c r="J160" s="21">
        <f t="shared" si="10"/>
        <v>0</v>
      </c>
      <c r="K160" s="20">
        <f t="shared" si="11"/>
        <v>0</v>
      </c>
    </row>
    <row r="161" spans="1:11" x14ac:dyDescent="0.3">
      <c r="B161" s="1" t="s">
        <v>239</v>
      </c>
      <c r="C161" s="1" t="s">
        <v>365</v>
      </c>
      <c r="D161" s="18"/>
      <c r="E161" s="12">
        <v>0.3</v>
      </c>
      <c r="F161" s="19">
        <f t="shared" si="8"/>
        <v>0</v>
      </c>
      <c r="G161" s="20">
        <f t="shared" si="9"/>
        <v>0</v>
      </c>
      <c r="H161" s="18"/>
      <c r="I161" s="15">
        <v>0.3</v>
      </c>
      <c r="J161" s="21">
        <f t="shared" si="10"/>
        <v>0</v>
      </c>
      <c r="K161" s="20">
        <f t="shared" si="11"/>
        <v>0</v>
      </c>
    </row>
    <row r="162" spans="1:11" x14ac:dyDescent="0.3">
      <c r="B162" s="1" t="s">
        <v>238</v>
      </c>
      <c r="C162" s="1" t="s">
        <v>417</v>
      </c>
      <c r="D162" s="18"/>
      <c r="E162" s="12">
        <v>0.3</v>
      </c>
      <c r="F162" s="19">
        <f t="shared" si="8"/>
        <v>0</v>
      </c>
      <c r="G162" s="20">
        <f t="shared" si="9"/>
        <v>0</v>
      </c>
      <c r="H162" s="18"/>
      <c r="I162" s="15">
        <v>0.3</v>
      </c>
      <c r="J162" s="21">
        <f t="shared" si="10"/>
        <v>0</v>
      </c>
      <c r="K162" s="20">
        <f t="shared" si="11"/>
        <v>0</v>
      </c>
    </row>
    <row r="163" spans="1:11" x14ac:dyDescent="0.3">
      <c r="B163" s="1" t="s">
        <v>233</v>
      </c>
      <c r="C163" s="1" t="s">
        <v>291</v>
      </c>
      <c r="D163" s="18"/>
      <c r="E163" s="12">
        <v>0.3</v>
      </c>
      <c r="F163" s="19">
        <f t="shared" si="8"/>
        <v>0</v>
      </c>
      <c r="G163" s="20">
        <f t="shared" si="9"/>
        <v>0</v>
      </c>
      <c r="H163" s="18"/>
      <c r="I163" s="15">
        <v>0.3</v>
      </c>
      <c r="J163" s="21">
        <f t="shared" si="10"/>
        <v>0</v>
      </c>
      <c r="K163" s="20">
        <f t="shared" si="11"/>
        <v>0</v>
      </c>
    </row>
    <row r="164" spans="1:11" x14ac:dyDescent="0.3">
      <c r="B164" s="1" t="s">
        <v>237</v>
      </c>
      <c r="C164" s="1" t="s">
        <v>418</v>
      </c>
      <c r="D164" s="18"/>
      <c r="E164" s="12">
        <v>0.3</v>
      </c>
      <c r="F164" s="19">
        <f t="shared" si="8"/>
        <v>0</v>
      </c>
      <c r="G164" s="20">
        <f t="shared" si="9"/>
        <v>0</v>
      </c>
      <c r="H164" s="18"/>
      <c r="I164" s="15">
        <v>0.3</v>
      </c>
      <c r="J164" s="21">
        <f t="shared" si="10"/>
        <v>0</v>
      </c>
      <c r="K164" s="20">
        <f t="shared" si="11"/>
        <v>0</v>
      </c>
    </row>
    <row r="165" spans="1:11" x14ac:dyDescent="0.3">
      <c r="B165" s="1" t="s">
        <v>236</v>
      </c>
      <c r="C165" s="1" t="s">
        <v>419</v>
      </c>
      <c r="D165" s="18"/>
      <c r="E165" s="12">
        <v>0.3</v>
      </c>
      <c r="F165" s="19">
        <f t="shared" si="8"/>
        <v>0</v>
      </c>
      <c r="G165" s="20">
        <f t="shared" si="9"/>
        <v>0</v>
      </c>
      <c r="H165" s="18"/>
      <c r="I165" s="15">
        <v>0.3</v>
      </c>
      <c r="J165" s="21">
        <f t="shared" si="10"/>
        <v>0</v>
      </c>
      <c r="K165" s="20">
        <f t="shared" si="11"/>
        <v>0</v>
      </c>
    </row>
    <row r="166" spans="1:11" x14ac:dyDescent="0.3">
      <c r="B166" s="1" t="s">
        <v>74</v>
      </c>
      <c r="C166" s="1" t="s">
        <v>291</v>
      </c>
      <c r="D166" s="18">
        <v>78</v>
      </c>
      <c r="E166" s="12">
        <v>0.3</v>
      </c>
      <c r="F166" s="19">
        <f t="shared" si="8"/>
        <v>111.42857142857143</v>
      </c>
      <c r="G166" s="20">
        <f t="shared" si="9"/>
        <v>33.428571428571431</v>
      </c>
      <c r="H166" s="18">
        <v>88</v>
      </c>
      <c r="I166" s="15">
        <v>0.3</v>
      </c>
      <c r="J166" s="21">
        <f t="shared" si="10"/>
        <v>125.71428571428572</v>
      </c>
      <c r="K166" s="20">
        <f t="shared" si="11"/>
        <v>37.714285714285722</v>
      </c>
    </row>
    <row r="167" spans="1:11" x14ac:dyDescent="0.3">
      <c r="B167" s="1" t="s">
        <v>75</v>
      </c>
      <c r="C167" s="1" t="s">
        <v>291</v>
      </c>
      <c r="D167" s="18"/>
      <c r="E167" s="12">
        <v>0.3</v>
      </c>
      <c r="F167" s="19">
        <f t="shared" si="8"/>
        <v>0</v>
      </c>
      <c r="G167" s="20">
        <f t="shared" si="9"/>
        <v>0</v>
      </c>
      <c r="H167" s="18"/>
      <c r="I167" s="15">
        <v>0.3</v>
      </c>
      <c r="J167" s="21">
        <f t="shared" si="10"/>
        <v>0</v>
      </c>
      <c r="K167" s="20">
        <f t="shared" si="11"/>
        <v>0</v>
      </c>
    </row>
    <row r="168" spans="1:11" x14ac:dyDescent="0.3">
      <c r="B168" s="1" t="s">
        <v>231</v>
      </c>
      <c r="C168" s="1" t="s">
        <v>420</v>
      </c>
      <c r="D168" s="18"/>
      <c r="E168" s="12">
        <v>0.3</v>
      </c>
      <c r="F168" s="19">
        <f t="shared" si="8"/>
        <v>0</v>
      </c>
      <c r="G168" s="20">
        <f t="shared" si="9"/>
        <v>0</v>
      </c>
      <c r="H168" s="18"/>
      <c r="I168" s="15">
        <v>0.3</v>
      </c>
      <c r="J168" s="21">
        <f t="shared" si="10"/>
        <v>0</v>
      </c>
      <c r="K168" s="20">
        <f t="shared" si="11"/>
        <v>0</v>
      </c>
    </row>
    <row r="169" spans="1:11" x14ac:dyDescent="0.3">
      <c r="B169" s="1" t="s">
        <v>230</v>
      </c>
      <c r="C169" s="1" t="s">
        <v>421</v>
      </c>
      <c r="D169" s="18"/>
      <c r="E169" s="12">
        <v>0.3</v>
      </c>
      <c r="F169" s="19">
        <f t="shared" si="8"/>
        <v>0</v>
      </c>
      <c r="G169" s="20">
        <f t="shared" si="9"/>
        <v>0</v>
      </c>
      <c r="H169" s="18"/>
      <c r="I169" s="15">
        <v>0.3</v>
      </c>
      <c r="J169" s="21">
        <f t="shared" si="10"/>
        <v>0</v>
      </c>
      <c r="K169" s="20">
        <f t="shared" si="11"/>
        <v>0</v>
      </c>
    </row>
    <row r="170" spans="1:11" x14ac:dyDescent="0.3">
      <c r="B170" s="1" t="s">
        <v>255</v>
      </c>
      <c r="C170" s="1" t="s">
        <v>422</v>
      </c>
      <c r="D170" s="18"/>
      <c r="E170" s="12">
        <v>0.3</v>
      </c>
      <c r="F170" s="19">
        <f t="shared" si="8"/>
        <v>0</v>
      </c>
      <c r="G170" s="20">
        <f t="shared" si="9"/>
        <v>0</v>
      </c>
      <c r="H170" s="18"/>
      <c r="I170" s="15">
        <v>0.3</v>
      </c>
      <c r="J170" s="21">
        <f t="shared" si="10"/>
        <v>0</v>
      </c>
      <c r="K170" s="20">
        <f t="shared" si="11"/>
        <v>0</v>
      </c>
    </row>
    <row r="171" spans="1:11" x14ac:dyDescent="0.3">
      <c r="B171" s="1" t="s">
        <v>184</v>
      </c>
      <c r="C171" s="1" t="s">
        <v>423</v>
      </c>
      <c r="D171" s="18"/>
      <c r="E171" s="12">
        <v>0.3</v>
      </c>
      <c r="F171" s="19">
        <f t="shared" si="8"/>
        <v>0</v>
      </c>
      <c r="G171" s="20">
        <f t="shared" si="9"/>
        <v>0</v>
      </c>
      <c r="H171" s="18"/>
      <c r="I171" s="15">
        <v>0.3</v>
      </c>
      <c r="J171" s="21">
        <f t="shared" si="10"/>
        <v>0</v>
      </c>
      <c r="K171" s="20">
        <f t="shared" si="11"/>
        <v>0</v>
      </c>
    </row>
    <row r="172" spans="1:11" x14ac:dyDescent="0.3">
      <c r="B172" s="1" t="s">
        <v>183</v>
      </c>
      <c r="C172" s="1" t="s">
        <v>424</v>
      </c>
      <c r="D172" s="18"/>
      <c r="E172" s="12">
        <v>0.3</v>
      </c>
      <c r="F172" s="19">
        <f t="shared" si="8"/>
        <v>0</v>
      </c>
      <c r="G172" s="20">
        <f t="shared" si="9"/>
        <v>0</v>
      </c>
      <c r="H172" s="18"/>
      <c r="I172" s="15">
        <v>0.3</v>
      </c>
      <c r="J172" s="21">
        <f t="shared" si="10"/>
        <v>0</v>
      </c>
      <c r="K172" s="20">
        <f t="shared" si="11"/>
        <v>0</v>
      </c>
    </row>
    <row r="173" spans="1:11" x14ac:dyDescent="0.3">
      <c r="A173" s="1">
        <v>2</v>
      </c>
      <c r="B173" s="1" t="s">
        <v>187</v>
      </c>
      <c r="C173" s="1" t="s">
        <v>425</v>
      </c>
      <c r="D173" s="18">
        <v>75</v>
      </c>
      <c r="E173" s="12">
        <v>0.3</v>
      </c>
      <c r="F173" s="19">
        <f t="shared" si="8"/>
        <v>107.14285714285715</v>
      </c>
      <c r="G173" s="20">
        <f t="shared" si="9"/>
        <v>32.142857142857153</v>
      </c>
      <c r="H173" s="18">
        <v>85</v>
      </c>
      <c r="I173" s="15">
        <v>0.3</v>
      </c>
      <c r="J173" s="21">
        <f t="shared" si="10"/>
        <v>121.42857142857143</v>
      </c>
      <c r="K173" s="20">
        <f t="shared" si="11"/>
        <v>36.428571428571431</v>
      </c>
    </row>
    <row r="174" spans="1:11" x14ac:dyDescent="0.3">
      <c r="B174" s="1" t="s">
        <v>191</v>
      </c>
      <c r="C174" s="1" t="s">
        <v>426</v>
      </c>
      <c r="D174" s="18"/>
      <c r="E174" s="12">
        <v>0.3</v>
      </c>
      <c r="F174" s="19">
        <f t="shared" si="8"/>
        <v>0</v>
      </c>
      <c r="G174" s="20">
        <f t="shared" si="9"/>
        <v>0</v>
      </c>
      <c r="H174" s="18"/>
      <c r="I174" s="15">
        <v>0.3</v>
      </c>
      <c r="J174" s="21">
        <f t="shared" si="10"/>
        <v>0</v>
      </c>
      <c r="K174" s="20">
        <f t="shared" si="11"/>
        <v>0</v>
      </c>
    </row>
    <row r="175" spans="1:11" x14ac:dyDescent="0.3">
      <c r="B175" s="1" t="s">
        <v>190</v>
      </c>
      <c r="C175" s="1" t="s">
        <v>427</v>
      </c>
      <c r="D175" s="18">
        <v>78</v>
      </c>
      <c r="E175" s="12">
        <v>0.3</v>
      </c>
      <c r="F175" s="19">
        <f t="shared" si="8"/>
        <v>111.42857142857143</v>
      </c>
      <c r="G175" s="20">
        <f t="shared" si="9"/>
        <v>33.428571428571431</v>
      </c>
      <c r="H175" s="18">
        <v>89</v>
      </c>
      <c r="I175" s="15">
        <v>0.3</v>
      </c>
      <c r="J175" s="21">
        <f t="shared" si="10"/>
        <v>127.14285714285715</v>
      </c>
      <c r="K175" s="20">
        <f t="shared" si="11"/>
        <v>38.142857142857153</v>
      </c>
    </row>
    <row r="176" spans="1:11" x14ac:dyDescent="0.3">
      <c r="B176" s="1" t="s">
        <v>194</v>
      </c>
      <c r="C176" s="1" t="s">
        <v>428</v>
      </c>
      <c r="D176" s="18"/>
      <c r="E176" s="12">
        <v>0.3</v>
      </c>
      <c r="F176" s="19">
        <f t="shared" si="8"/>
        <v>0</v>
      </c>
      <c r="G176" s="20">
        <f t="shared" si="9"/>
        <v>0</v>
      </c>
      <c r="H176" s="18"/>
      <c r="I176" s="15">
        <v>0.3</v>
      </c>
      <c r="J176" s="21">
        <f t="shared" si="10"/>
        <v>0</v>
      </c>
      <c r="K176" s="20">
        <f t="shared" si="11"/>
        <v>0</v>
      </c>
    </row>
    <row r="177" spans="1:12" x14ac:dyDescent="0.3">
      <c r="B177" s="1" t="s">
        <v>175</v>
      </c>
      <c r="C177" s="1" t="s">
        <v>176</v>
      </c>
      <c r="D177" s="18"/>
      <c r="E177" s="12">
        <v>0.3</v>
      </c>
      <c r="F177" s="19">
        <f t="shared" si="8"/>
        <v>0</v>
      </c>
      <c r="G177" s="20">
        <f t="shared" si="9"/>
        <v>0</v>
      </c>
      <c r="H177" s="18"/>
      <c r="I177" s="15">
        <v>0.3</v>
      </c>
      <c r="J177" s="21">
        <f t="shared" si="10"/>
        <v>0</v>
      </c>
      <c r="K177" s="20">
        <f t="shared" si="11"/>
        <v>0</v>
      </c>
    </row>
    <row r="178" spans="1:12" x14ac:dyDescent="0.3">
      <c r="A178" s="1">
        <v>3</v>
      </c>
      <c r="B178" s="1" t="s">
        <v>182</v>
      </c>
      <c r="C178" s="1" t="s">
        <v>429</v>
      </c>
      <c r="D178" s="18">
        <v>78</v>
      </c>
      <c r="E178" s="12">
        <v>0.3</v>
      </c>
      <c r="F178" s="19">
        <f t="shared" si="8"/>
        <v>111.42857142857143</v>
      </c>
      <c r="G178" s="20">
        <f t="shared" si="9"/>
        <v>33.428571428571431</v>
      </c>
      <c r="H178" s="18">
        <v>90</v>
      </c>
      <c r="I178" s="15">
        <v>0.3</v>
      </c>
      <c r="J178" s="21">
        <f t="shared" si="10"/>
        <v>128.57142857142858</v>
      </c>
      <c r="K178" s="20">
        <f t="shared" si="11"/>
        <v>38.571428571428584</v>
      </c>
    </row>
    <row r="179" spans="1:12" x14ac:dyDescent="0.3">
      <c r="B179" s="1" t="s">
        <v>181</v>
      </c>
      <c r="C179" s="1" t="s">
        <v>430</v>
      </c>
      <c r="D179" s="18" t="s">
        <v>1287</v>
      </c>
      <c r="E179" s="12">
        <v>0.3</v>
      </c>
      <c r="F179" s="19">
        <v>120</v>
      </c>
      <c r="G179" s="20" t="e">
        <f t="shared" si="9"/>
        <v>#VALUE!</v>
      </c>
      <c r="H179" s="18"/>
      <c r="I179" s="15">
        <v>0.3</v>
      </c>
      <c r="J179" s="21">
        <f t="shared" si="10"/>
        <v>0</v>
      </c>
      <c r="K179" s="20">
        <f t="shared" si="11"/>
        <v>0</v>
      </c>
    </row>
    <row r="180" spans="1:12" x14ac:dyDescent="0.3">
      <c r="B180" s="1" t="s">
        <v>179</v>
      </c>
      <c r="C180" s="1" t="s">
        <v>180</v>
      </c>
      <c r="D180" s="18"/>
      <c r="E180" s="12">
        <v>0.3</v>
      </c>
      <c r="F180" s="19">
        <f t="shared" si="8"/>
        <v>0</v>
      </c>
      <c r="G180" s="20">
        <f t="shared" si="9"/>
        <v>0</v>
      </c>
      <c r="H180" s="18"/>
      <c r="I180" s="15">
        <v>0.3</v>
      </c>
      <c r="J180" s="21">
        <f t="shared" si="10"/>
        <v>0</v>
      </c>
      <c r="K180" s="20">
        <f t="shared" si="11"/>
        <v>0</v>
      </c>
    </row>
    <row r="181" spans="1:12" x14ac:dyDescent="0.3">
      <c r="B181" s="1" t="s">
        <v>177</v>
      </c>
      <c r="C181" s="1" t="s">
        <v>178</v>
      </c>
      <c r="D181" s="18">
        <v>80</v>
      </c>
      <c r="E181" s="12">
        <v>0.3</v>
      </c>
      <c r="F181" s="19">
        <f t="shared" si="8"/>
        <v>114.28571428571429</v>
      </c>
      <c r="G181" s="20">
        <f t="shared" si="9"/>
        <v>34.285714285714292</v>
      </c>
      <c r="H181" s="18">
        <v>90</v>
      </c>
      <c r="I181" s="15">
        <v>0.3</v>
      </c>
      <c r="J181" s="21">
        <f t="shared" si="10"/>
        <v>128.57142857142858</v>
      </c>
      <c r="K181" s="20">
        <f t="shared" si="11"/>
        <v>38.571428571428584</v>
      </c>
    </row>
    <row r="182" spans="1:12" x14ac:dyDescent="0.3">
      <c r="B182" s="1" t="s">
        <v>186</v>
      </c>
      <c r="C182" s="1" t="s">
        <v>431</v>
      </c>
      <c r="D182" s="18">
        <v>79</v>
      </c>
      <c r="E182" s="12">
        <v>0.3</v>
      </c>
      <c r="F182" s="19">
        <f t="shared" si="8"/>
        <v>112.85714285714286</v>
      </c>
      <c r="G182" s="20">
        <f t="shared" si="9"/>
        <v>33.857142857142861</v>
      </c>
      <c r="H182" s="18">
        <v>91</v>
      </c>
      <c r="I182" s="15">
        <v>0.3</v>
      </c>
      <c r="J182" s="21">
        <f t="shared" si="10"/>
        <v>130</v>
      </c>
      <c r="K182" s="20">
        <f t="shared" si="11"/>
        <v>39</v>
      </c>
    </row>
    <row r="183" spans="1:12" x14ac:dyDescent="0.3">
      <c r="B183" s="1" t="s">
        <v>185</v>
      </c>
      <c r="C183" s="1" t="s">
        <v>432</v>
      </c>
      <c r="D183" s="18">
        <v>80</v>
      </c>
      <c r="E183" s="12">
        <v>0.3</v>
      </c>
      <c r="F183" s="19">
        <f t="shared" si="8"/>
        <v>114.28571428571429</v>
      </c>
      <c r="G183" s="20">
        <f t="shared" si="9"/>
        <v>34.285714285714292</v>
      </c>
      <c r="H183" s="18">
        <v>90</v>
      </c>
      <c r="I183" s="15">
        <v>0.3</v>
      </c>
      <c r="J183" s="21">
        <f t="shared" si="10"/>
        <v>128.57142857142858</v>
      </c>
      <c r="K183" s="20">
        <f t="shared" si="11"/>
        <v>38.571428571428584</v>
      </c>
    </row>
    <row r="184" spans="1:12" x14ac:dyDescent="0.3">
      <c r="B184" s="1" t="s">
        <v>189</v>
      </c>
      <c r="C184" s="1" t="s">
        <v>433</v>
      </c>
      <c r="D184" s="18">
        <v>79</v>
      </c>
      <c r="E184" s="12">
        <v>0.3</v>
      </c>
      <c r="F184" s="19">
        <f t="shared" si="8"/>
        <v>112.85714285714286</v>
      </c>
      <c r="G184" s="20">
        <f t="shared" si="9"/>
        <v>33.857142857142861</v>
      </c>
      <c r="H184" s="18">
        <v>88</v>
      </c>
      <c r="I184" s="15">
        <v>0.3</v>
      </c>
      <c r="J184" s="21">
        <f t="shared" si="10"/>
        <v>125.71428571428572</v>
      </c>
      <c r="K184" s="20">
        <f t="shared" si="11"/>
        <v>37.714285714285722</v>
      </c>
    </row>
    <row r="185" spans="1:12" x14ac:dyDescent="0.3">
      <c r="B185" s="1" t="s">
        <v>188</v>
      </c>
      <c r="C185" s="1" t="s">
        <v>434</v>
      </c>
      <c r="D185" s="18"/>
      <c r="E185" s="12">
        <v>0.3</v>
      </c>
      <c r="F185" s="19">
        <f t="shared" si="8"/>
        <v>0</v>
      </c>
      <c r="G185" s="20">
        <f t="shared" si="9"/>
        <v>0</v>
      </c>
      <c r="H185" s="18"/>
      <c r="I185" s="15">
        <v>0.3</v>
      </c>
      <c r="J185" s="21">
        <f t="shared" si="10"/>
        <v>0</v>
      </c>
      <c r="K185" s="20">
        <f t="shared" si="11"/>
        <v>0</v>
      </c>
    </row>
    <row r="186" spans="1:12" x14ac:dyDescent="0.3">
      <c r="B186" s="1" t="s">
        <v>193</v>
      </c>
      <c r="C186" s="1" t="s">
        <v>435</v>
      </c>
      <c r="D186" s="18"/>
      <c r="E186" s="12">
        <v>0.3</v>
      </c>
      <c r="F186" s="19">
        <f t="shared" si="8"/>
        <v>0</v>
      </c>
      <c r="G186" s="20">
        <f t="shared" si="9"/>
        <v>0</v>
      </c>
      <c r="H186" s="18"/>
      <c r="I186" s="15">
        <v>0.3</v>
      </c>
      <c r="J186" s="21">
        <f t="shared" si="10"/>
        <v>0</v>
      </c>
      <c r="K186" s="20">
        <f t="shared" si="11"/>
        <v>0</v>
      </c>
    </row>
    <row r="187" spans="1:12" x14ac:dyDescent="0.3">
      <c r="B187" s="1" t="s">
        <v>192</v>
      </c>
      <c r="C187" s="1" t="s">
        <v>435</v>
      </c>
      <c r="D187" s="18"/>
      <c r="E187" s="12">
        <v>0.3</v>
      </c>
      <c r="F187" s="19">
        <f t="shared" si="8"/>
        <v>0</v>
      </c>
      <c r="G187" s="20">
        <f t="shared" si="9"/>
        <v>0</v>
      </c>
      <c r="H187" s="18"/>
      <c r="I187" s="15">
        <v>0.3</v>
      </c>
      <c r="J187" s="21">
        <f t="shared" si="10"/>
        <v>0</v>
      </c>
      <c r="K187" s="20">
        <f t="shared" si="11"/>
        <v>0</v>
      </c>
    </row>
    <row r="188" spans="1:12" x14ac:dyDescent="0.3">
      <c r="B188" s="1" t="s">
        <v>174</v>
      </c>
      <c r="C188" s="1" t="s">
        <v>436</v>
      </c>
      <c r="D188" s="18">
        <v>74</v>
      </c>
      <c r="E188" s="12">
        <v>0.3</v>
      </c>
      <c r="F188" s="19">
        <f t="shared" si="8"/>
        <v>105.71428571428572</v>
      </c>
      <c r="G188" s="20">
        <f t="shared" si="9"/>
        <v>31.714285714285722</v>
      </c>
      <c r="H188" s="18">
        <v>85</v>
      </c>
      <c r="I188" s="15">
        <v>0.3</v>
      </c>
      <c r="J188" s="21">
        <f t="shared" si="10"/>
        <v>121.42857142857143</v>
      </c>
      <c r="K188" s="20">
        <f t="shared" si="11"/>
        <v>36.428571428571431</v>
      </c>
    </row>
    <row r="189" spans="1:12" x14ac:dyDescent="0.3">
      <c r="A189" s="1">
        <v>1</v>
      </c>
      <c r="B189" s="1" t="s">
        <v>173</v>
      </c>
      <c r="C189" s="1" t="s">
        <v>437</v>
      </c>
      <c r="D189" s="18">
        <v>77</v>
      </c>
      <c r="E189" s="12">
        <v>0.3</v>
      </c>
      <c r="F189" s="19">
        <f t="shared" si="8"/>
        <v>110</v>
      </c>
      <c r="G189" s="20">
        <f t="shared" si="9"/>
        <v>33</v>
      </c>
      <c r="H189" s="18">
        <v>89</v>
      </c>
      <c r="I189" s="15">
        <v>0.3</v>
      </c>
      <c r="J189" s="21">
        <f t="shared" si="10"/>
        <v>127.14285714285715</v>
      </c>
      <c r="K189" s="20">
        <f t="shared" si="11"/>
        <v>38.142857142857153</v>
      </c>
      <c r="L189" s="1">
        <v>125</v>
      </c>
    </row>
    <row r="190" spans="1:12" x14ac:dyDescent="0.3">
      <c r="B190" s="1" t="s">
        <v>172</v>
      </c>
      <c r="C190" s="1" t="s">
        <v>438</v>
      </c>
      <c r="D190" s="18"/>
      <c r="E190" s="12">
        <v>0.3</v>
      </c>
      <c r="F190" s="19">
        <f t="shared" si="8"/>
        <v>0</v>
      </c>
      <c r="G190" s="20">
        <f t="shared" si="9"/>
        <v>0</v>
      </c>
      <c r="H190" s="18"/>
      <c r="I190" s="15">
        <v>0.3</v>
      </c>
      <c r="J190" s="21">
        <f t="shared" si="10"/>
        <v>0</v>
      </c>
      <c r="K190" s="20">
        <f t="shared" si="11"/>
        <v>0</v>
      </c>
    </row>
    <row r="191" spans="1:12" x14ac:dyDescent="0.3">
      <c r="B191" s="1" t="s">
        <v>170</v>
      </c>
      <c r="C191" s="1" t="s">
        <v>171</v>
      </c>
      <c r="D191" s="18"/>
      <c r="E191" s="12">
        <v>0.3</v>
      </c>
      <c r="F191" s="19">
        <f t="shared" si="8"/>
        <v>0</v>
      </c>
      <c r="G191" s="20">
        <f t="shared" si="9"/>
        <v>0</v>
      </c>
      <c r="H191" s="18"/>
      <c r="I191" s="15">
        <v>0.3</v>
      </c>
      <c r="J191" s="21">
        <f t="shared" si="10"/>
        <v>0</v>
      </c>
      <c r="K191" s="20">
        <f t="shared" si="11"/>
        <v>0</v>
      </c>
    </row>
    <row r="192" spans="1:12" x14ac:dyDescent="0.3">
      <c r="B192" s="1" t="s">
        <v>168</v>
      </c>
      <c r="C192" s="1" t="s">
        <v>169</v>
      </c>
      <c r="D192" s="18">
        <v>80</v>
      </c>
      <c r="E192" s="12">
        <v>0.3</v>
      </c>
      <c r="F192" s="19">
        <f t="shared" si="8"/>
        <v>114.28571428571429</v>
      </c>
      <c r="G192" s="20">
        <f t="shared" si="9"/>
        <v>34.285714285714292</v>
      </c>
      <c r="H192" s="18">
        <v>90</v>
      </c>
      <c r="I192" s="15">
        <v>0.3</v>
      </c>
      <c r="J192" s="21">
        <f t="shared" si="10"/>
        <v>128.57142857142858</v>
      </c>
      <c r="K192" s="20">
        <f t="shared" si="11"/>
        <v>38.571428571428584</v>
      </c>
    </row>
    <row r="193" spans="1:13" x14ac:dyDescent="0.3">
      <c r="B193" s="1" t="s">
        <v>167</v>
      </c>
      <c r="C193" s="1" t="s">
        <v>439</v>
      </c>
      <c r="D193" s="18"/>
      <c r="E193" s="12">
        <v>0.3</v>
      </c>
      <c r="F193" s="19">
        <f t="shared" si="8"/>
        <v>0</v>
      </c>
      <c r="G193" s="20">
        <f t="shared" si="9"/>
        <v>0</v>
      </c>
      <c r="H193" s="18"/>
      <c r="I193" s="15">
        <v>0.3</v>
      </c>
      <c r="J193" s="21">
        <f t="shared" si="10"/>
        <v>0</v>
      </c>
      <c r="K193" s="20">
        <f t="shared" si="11"/>
        <v>0</v>
      </c>
    </row>
    <row r="194" spans="1:13" x14ac:dyDescent="0.3">
      <c r="B194" s="1" t="s">
        <v>166</v>
      </c>
      <c r="C194" s="1" t="s">
        <v>440</v>
      </c>
      <c r="D194" s="18">
        <v>79</v>
      </c>
      <c r="E194" s="12">
        <v>0.3</v>
      </c>
      <c r="F194" s="19">
        <f t="shared" si="8"/>
        <v>112.85714285714286</v>
      </c>
      <c r="G194" s="20">
        <f t="shared" si="9"/>
        <v>33.857142857142861</v>
      </c>
      <c r="H194" s="18">
        <v>92</v>
      </c>
      <c r="I194" s="15">
        <v>0.3</v>
      </c>
      <c r="J194" s="21">
        <f t="shared" si="10"/>
        <v>131.42857142857144</v>
      </c>
      <c r="K194" s="20">
        <f t="shared" si="11"/>
        <v>39.428571428571445</v>
      </c>
      <c r="M194" s="17">
        <v>125</v>
      </c>
    </row>
    <row r="195" spans="1:13" x14ac:dyDescent="0.3">
      <c r="B195" s="1" t="s">
        <v>165</v>
      </c>
      <c r="C195" s="1" t="s">
        <v>441</v>
      </c>
      <c r="D195" s="18"/>
      <c r="E195" s="12">
        <v>0.3</v>
      </c>
      <c r="F195" s="19">
        <f t="shared" ref="F195:F200" si="12">D195/(1-E195)</f>
        <v>0</v>
      </c>
      <c r="G195" s="20">
        <f t="shared" ref="G195:G258" si="13">F195-D195</f>
        <v>0</v>
      </c>
      <c r="H195" s="18"/>
      <c r="I195" s="15">
        <v>0.3</v>
      </c>
      <c r="J195" s="21">
        <f t="shared" ref="J195:J258" si="14">H195/(1-I195)</f>
        <v>0</v>
      </c>
      <c r="K195" s="20">
        <f t="shared" ref="K195:K258" si="15">J195-H195</f>
        <v>0</v>
      </c>
    </row>
    <row r="196" spans="1:13" x14ac:dyDescent="0.3">
      <c r="B196" s="1" t="s">
        <v>91</v>
      </c>
      <c r="C196" s="1" t="s">
        <v>164</v>
      </c>
      <c r="D196" s="18"/>
      <c r="E196" s="12">
        <v>0.3</v>
      </c>
      <c r="F196" s="19">
        <f t="shared" si="12"/>
        <v>0</v>
      </c>
      <c r="G196" s="20">
        <f t="shared" si="13"/>
        <v>0</v>
      </c>
      <c r="H196" s="18"/>
      <c r="I196" s="15">
        <v>0.3</v>
      </c>
      <c r="J196" s="21">
        <f t="shared" si="14"/>
        <v>0</v>
      </c>
      <c r="K196" s="20">
        <f t="shared" si="15"/>
        <v>0</v>
      </c>
    </row>
    <row r="197" spans="1:13" x14ac:dyDescent="0.3">
      <c r="B197" s="1" t="s">
        <v>92</v>
      </c>
      <c r="C197" s="1" t="s">
        <v>442</v>
      </c>
      <c r="D197" s="18">
        <v>73</v>
      </c>
      <c r="E197" s="12">
        <v>0.3</v>
      </c>
      <c r="F197" s="19">
        <f t="shared" si="12"/>
        <v>104.28571428571429</v>
      </c>
      <c r="G197" s="20">
        <f t="shared" si="13"/>
        <v>31.285714285714292</v>
      </c>
      <c r="H197" s="18">
        <v>84</v>
      </c>
      <c r="I197" s="15">
        <v>0.3</v>
      </c>
      <c r="J197" s="21">
        <f t="shared" si="14"/>
        <v>120.00000000000001</v>
      </c>
      <c r="K197" s="20">
        <f t="shared" si="15"/>
        <v>36.000000000000014</v>
      </c>
    </row>
    <row r="198" spans="1:13" x14ac:dyDescent="0.3">
      <c r="B198" s="1" t="s">
        <v>163</v>
      </c>
      <c r="C198" s="1" t="s">
        <v>443</v>
      </c>
      <c r="D198" s="18">
        <v>56</v>
      </c>
      <c r="E198" s="12">
        <v>0.3</v>
      </c>
      <c r="F198" s="19">
        <f t="shared" si="12"/>
        <v>80</v>
      </c>
      <c r="G198" s="20">
        <f t="shared" si="13"/>
        <v>24</v>
      </c>
      <c r="H198" s="18">
        <v>65</v>
      </c>
      <c r="I198" s="15">
        <v>0.3</v>
      </c>
      <c r="J198" s="21">
        <f t="shared" si="14"/>
        <v>92.857142857142861</v>
      </c>
      <c r="K198" s="20">
        <f t="shared" si="15"/>
        <v>27.857142857142861</v>
      </c>
    </row>
    <row r="199" spans="1:13" x14ac:dyDescent="0.3">
      <c r="B199" s="1" t="s">
        <v>162</v>
      </c>
      <c r="C199" s="1" t="s">
        <v>444</v>
      </c>
      <c r="D199" s="18"/>
      <c r="E199" s="12">
        <v>0.3</v>
      </c>
      <c r="F199" s="19">
        <f t="shared" si="12"/>
        <v>0</v>
      </c>
      <c r="G199" s="20">
        <f t="shared" si="13"/>
        <v>0</v>
      </c>
      <c r="H199" s="18"/>
      <c r="I199" s="15">
        <v>0.3</v>
      </c>
      <c r="J199" s="21">
        <f t="shared" si="14"/>
        <v>0</v>
      </c>
      <c r="K199" s="20">
        <f t="shared" si="15"/>
        <v>0</v>
      </c>
    </row>
    <row r="200" spans="1:13" x14ac:dyDescent="0.3">
      <c r="A200" s="1">
        <v>2</v>
      </c>
      <c r="B200" s="1" t="s">
        <v>93</v>
      </c>
      <c r="C200" s="1" t="s">
        <v>497</v>
      </c>
      <c r="D200" s="18">
        <v>69</v>
      </c>
      <c r="E200" s="12">
        <v>0.3</v>
      </c>
      <c r="F200" s="19">
        <f t="shared" si="12"/>
        <v>98.571428571428584</v>
      </c>
      <c r="G200" s="20">
        <f t="shared" si="13"/>
        <v>29.571428571428584</v>
      </c>
      <c r="H200" s="18">
        <v>80</v>
      </c>
      <c r="I200" s="15">
        <v>0.3</v>
      </c>
      <c r="J200" s="21">
        <f t="shared" si="14"/>
        <v>114.28571428571429</v>
      </c>
      <c r="K200" s="20">
        <f t="shared" si="15"/>
        <v>34.285714285714292</v>
      </c>
      <c r="M200" s="17">
        <v>100</v>
      </c>
    </row>
    <row r="201" spans="1:13" x14ac:dyDescent="0.3">
      <c r="B201" s="1" t="s">
        <v>94</v>
      </c>
      <c r="C201" s="1" t="s">
        <v>445</v>
      </c>
      <c r="D201" s="18" t="s">
        <v>1425</v>
      </c>
      <c r="E201" s="12">
        <v>0.3</v>
      </c>
      <c r="F201" s="19" t="e">
        <f t="shared" ref="F201:F232" si="16">D201/(1-E201)</f>
        <v>#VALUE!</v>
      </c>
      <c r="G201" s="20" t="e">
        <f t="shared" si="13"/>
        <v>#VALUE!</v>
      </c>
      <c r="H201" s="18"/>
      <c r="I201" s="15">
        <v>0.3</v>
      </c>
      <c r="J201" s="21">
        <f t="shared" si="14"/>
        <v>0</v>
      </c>
      <c r="K201" s="20">
        <f t="shared" si="15"/>
        <v>0</v>
      </c>
    </row>
    <row r="202" spans="1:13" x14ac:dyDescent="0.3">
      <c r="B202" s="1" t="s">
        <v>95</v>
      </c>
      <c r="C202" s="1" t="s">
        <v>446</v>
      </c>
      <c r="D202" s="18"/>
      <c r="E202" s="12">
        <v>0.3</v>
      </c>
      <c r="F202" s="19">
        <f t="shared" si="16"/>
        <v>0</v>
      </c>
      <c r="G202" s="20">
        <f t="shared" si="13"/>
        <v>0</v>
      </c>
      <c r="H202" s="18"/>
      <c r="I202" s="15">
        <v>0.3</v>
      </c>
      <c r="J202" s="21">
        <f t="shared" si="14"/>
        <v>0</v>
      </c>
      <c r="K202" s="20">
        <f t="shared" si="15"/>
        <v>0</v>
      </c>
    </row>
    <row r="203" spans="1:13" x14ac:dyDescent="0.3">
      <c r="B203" s="1" t="s">
        <v>161</v>
      </c>
      <c r="C203" s="1" t="s">
        <v>447</v>
      </c>
      <c r="D203" s="18"/>
      <c r="E203" s="12">
        <v>0.3</v>
      </c>
      <c r="F203" s="19">
        <f t="shared" si="16"/>
        <v>0</v>
      </c>
      <c r="G203" s="20">
        <f t="shared" si="13"/>
        <v>0</v>
      </c>
      <c r="H203" s="18"/>
      <c r="I203" s="15">
        <v>0.3</v>
      </c>
      <c r="J203" s="21">
        <f t="shared" si="14"/>
        <v>0</v>
      </c>
      <c r="K203" s="20">
        <f t="shared" si="15"/>
        <v>0</v>
      </c>
    </row>
    <row r="204" spans="1:13" x14ac:dyDescent="0.3">
      <c r="B204" s="1" t="s">
        <v>96</v>
      </c>
      <c r="C204" s="1" t="s">
        <v>448</v>
      </c>
      <c r="D204" s="18"/>
      <c r="E204" s="12">
        <v>0.3</v>
      </c>
      <c r="F204" s="19">
        <f t="shared" si="16"/>
        <v>0</v>
      </c>
      <c r="G204" s="20">
        <f t="shared" si="13"/>
        <v>0</v>
      </c>
      <c r="H204" s="18"/>
      <c r="I204" s="15">
        <v>0.3</v>
      </c>
      <c r="J204" s="21">
        <f t="shared" si="14"/>
        <v>0</v>
      </c>
      <c r="K204" s="20">
        <f t="shared" si="15"/>
        <v>0</v>
      </c>
    </row>
    <row r="205" spans="1:13" x14ac:dyDescent="0.3">
      <c r="B205" s="1" t="s">
        <v>97</v>
      </c>
      <c r="C205" s="1" t="s">
        <v>449</v>
      </c>
      <c r="D205" s="18"/>
      <c r="E205" s="12">
        <v>0.3</v>
      </c>
      <c r="F205" s="19">
        <f t="shared" si="16"/>
        <v>0</v>
      </c>
      <c r="G205" s="20">
        <f t="shared" si="13"/>
        <v>0</v>
      </c>
      <c r="H205" s="18"/>
      <c r="I205" s="15">
        <v>0.3</v>
      </c>
      <c r="J205" s="21">
        <f t="shared" si="14"/>
        <v>0</v>
      </c>
      <c r="K205" s="20">
        <f t="shared" si="15"/>
        <v>0</v>
      </c>
    </row>
    <row r="206" spans="1:13" x14ac:dyDescent="0.3">
      <c r="B206" s="1" t="s">
        <v>160</v>
      </c>
      <c r="C206" s="1" t="s">
        <v>450</v>
      </c>
      <c r="D206" s="18"/>
      <c r="E206" s="12">
        <v>0.3</v>
      </c>
      <c r="F206" s="19">
        <f t="shared" si="16"/>
        <v>0</v>
      </c>
      <c r="G206" s="20">
        <f t="shared" si="13"/>
        <v>0</v>
      </c>
      <c r="H206" s="18"/>
      <c r="I206" s="15">
        <v>0.3</v>
      </c>
      <c r="J206" s="21">
        <f t="shared" si="14"/>
        <v>0</v>
      </c>
      <c r="K206" s="20">
        <f t="shared" si="15"/>
        <v>0</v>
      </c>
    </row>
    <row r="207" spans="1:13" x14ac:dyDescent="0.3">
      <c r="B207" s="1" t="s">
        <v>159</v>
      </c>
      <c r="C207" s="1" t="s">
        <v>451</v>
      </c>
      <c r="D207" s="18">
        <v>93</v>
      </c>
      <c r="E207" s="12">
        <v>0.3</v>
      </c>
      <c r="F207" s="19">
        <f t="shared" si="16"/>
        <v>132.85714285714286</v>
      </c>
      <c r="G207" s="20">
        <f t="shared" si="13"/>
        <v>39.857142857142861</v>
      </c>
      <c r="H207" s="18">
        <v>105</v>
      </c>
      <c r="I207" s="15">
        <v>0.3</v>
      </c>
      <c r="J207" s="21">
        <f t="shared" si="14"/>
        <v>150</v>
      </c>
      <c r="K207" s="20">
        <f t="shared" si="15"/>
        <v>45</v>
      </c>
    </row>
    <row r="208" spans="1:13" x14ac:dyDescent="0.3">
      <c r="B208" s="1" t="s">
        <v>158</v>
      </c>
      <c r="C208" s="1" t="s">
        <v>452</v>
      </c>
      <c r="D208" s="18"/>
      <c r="E208" s="12">
        <v>0.3</v>
      </c>
      <c r="F208" s="19">
        <f t="shared" si="16"/>
        <v>0</v>
      </c>
      <c r="G208" s="20">
        <f t="shared" si="13"/>
        <v>0</v>
      </c>
      <c r="H208" s="18"/>
      <c r="I208" s="15">
        <v>0.3</v>
      </c>
      <c r="J208" s="21">
        <f t="shared" si="14"/>
        <v>0</v>
      </c>
      <c r="K208" s="20">
        <f t="shared" si="15"/>
        <v>0</v>
      </c>
    </row>
    <row r="209" spans="2:11" x14ac:dyDescent="0.3">
      <c r="B209" s="1" t="s">
        <v>98</v>
      </c>
      <c r="C209" s="1" t="s">
        <v>453</v>
      </c>
      <c r="D209" s="18"/>
      <c r="E209" s="12">
        <v>0.3</v>
      </c>
      <c r="F209" s="19">
        <f t="shared" si="16"/>
        <v>0</v>
      </c>
      <c r="G209" s="20">
        <f t="shared" si="13"/>
        <v>0</v>
      </c>
      <c r="H209" s="18"/>
      <c r="I209" s="15">
        <v>0.3</v>
      </c>
      <c r="J209" s="21">
        <f t="shared" si="14"/>
        <v>0</v>
      </c>
      <c r="K209" s="20">
        <f t="shared" si="15"/>
        <v>0</v>
      </c>
    </row>
    <row r="210" spans="2:11" x14ac:dyDescent="0.3">
      <c r="B210" s="1" t="s">
        <v>99</v>
      </c>
      <c r="C210" s="1" t="s">
        <v>454</v>
      </c>
      <c r="D210" s="18"/>
      <c r="E210" s="12">
        <v>0.3</v>
      </c>
      <c r="F210" s="19">
        <f t="shared" si="16"/>
        <v>0</v>
      </c>
      <c r="G210" s="20">
        <f t="shared" si="13"/>
        <v>0</v>
      </c>
      <c r="H210" s="18"/>
      <c r="I210" s="15">
        <v>0.3</v>
      </c>
      <c r="J210" s="21">
        <f t="shared" si="14"/>
        <v>0</v>
      </c>
      <c r="K210" s="20">
        <f t="shared" si="15"/>
        <v>0</v>
      </c>
    </row>
    <row r="211" spans="2:11" x14ac:dyDescent="0.3">
      <c r="B211" s="1" t="s">
        <v>156</v>
      </c>
      <c r="C211" s="1" t="s">
        <v>455</v>
      </c>
      <c r="D211" s="18">
        <v>75</v>
      </c>
      <c r="E211" s="12">
        <v>0.3</v>
      </c>
      <c r="F211" s="19">
        <f t="shared" si="16"/>
        <v>107.14285714285715</v>
      </c>
      <c r="G211" s="20">
        <f t="shared" si="13"/>
        <v>32.142857142857153</v>
      </c>
      <c r="H211" s="18">
        <v>85</v>
      </c>
      <c r="I211" s="15">
        <v>0.3</v>
      </c>
      <c r="J211" s="21">
        <f t="shared" si="14"/>
        <v>121.42857142857143</v>
      </c>
      <c r="K211" s="20">
        <f t="shared" si="15"/>
        <v>36.428571428571431</v>
      </c>
    </row>
    <row r="212" spans="2:11" x14ac:dyDescent="0.3">
      <c r="B212" s="1" t="s">
        <v>157</v>
      </c>
      <c r="C212" s="1" t="s">
        <v>456</v>
      </c>
      <c r="D212" s="18"/>
      <c r="E212" s="12">
        <v>0.3</v>
      </c>
      <c r="F212" s="19">
        <f t="shared" si="16"/>
        <v>0</v>
      </c>
      <c r="G212" s="20">
        <f t="shared" si="13"/>
        <v>0</v>
      </c>
      <c r="H212" s="18"/>
      <c r="I212" s="15">
        <v>0.3</v>
      </c>
      <c r="J212" s="21">
        <f t="shared" si="14"/>
        <v>0</v>
      </c>
      <c r="K212" s="20">
        <f t="shared" si="15"/>
        <v>0</v>
      </c>
    </row>
    <row r="213" spans="2:11" x14ac:dyDescent="0.3">
      <c r="B213" s="1" t="s">
        <v>100</v>
      </c>
      <c r="C213" s="1" t="s">
        <v>457</v>
      </c>
      <c r="D213" s="18"/>
      <c r="E213" s="12">
        <v>0.3</v>
      </c>
      <c r="F213" s="19">
        <f t="shared" si="16"/>
        <v>0</v>
      </c>
      <c r="G213" s="20">
        <f t="shared" si="13"/>
        <v>0</v>
      </c>
      <c r="H213" s="18"/>
      <c r="I213" s="15">
        <v>0.3</v>
      </c>
      <c r="J213" s="21">
        <f t="shared" si="14"/>
        <v>0</v>
      </c>
      <c r="K213" s="20">
        <f t="shared" si="15"/>
        <v>0</v>
      </c>
    </row>
    <row r="214" spans="2:11" x14ac:dyDescent="0.3">
      <c r="B214" s="1" t="s">
        <v>155</v>
      </c>
      <c r="C214" s="1" t="s">
        <v>458</v>
      </c>
      <c r="D214" s="18"/>
      <c r="E214" s="12">
        <v>0.3</v>
      </c>
      <c r="F214" s="19">
        <f t="shared" si="16"/>
        <v>0</v>
      </c>
      <c r="G214" s="20">
        <f t="shared" si="13"/>
        <v>0</v>
      </c>
      <c r="H214" s="18"/>
      <c r="I214" s="15">
        <v>0.3</v>
      </c>
      <c r="J214" s="21">
        <f t="shared" si="14"/>
        <v>0</v>
      </c>
      <c r="K214" s="20">
        <f t="shared" si="15"/>
        <v>0</v>
      </c>
    </row>
    <row r="215" spans="2:11" x14ac:dyDescent="0.3">
      <c r="B215" s="1" t="s">
        <v>154</v>
      </c>
      <c r="C215" s="1" t="s">
        <v>459</v>
      </c>
      <c r="D215" s="18"/>
      <c r="E215" s="12">
        <v>0.3</v>
      </c>
      <c r="F215" s="19">
        <f t="shared" si="16"/>
        <v>0</v>
      </c>
      <c r="G215" s="20">
        <f t="shared" si="13"/>
        <v>0</v>
      </c>
      <c r="H215" s="18"/>
      <c r="I215" s="15">
        <v>0.3</v>
      </c>
      <c r="J215" s="21">
        <f t="shared" si="14"/>
        <v>0</v>
      </c>
      <c r="K215" s="20">
        <f t="shared" si="15"/>
        <v>0</v>
      </c>
    </row>
    <row r="216" spans="2:11" x14ac:dyDescent="0.3">
      <c r="B216" s="1" t="s">
        <v>153</v>
      </c>
      <c r="C216" s="1" t="s">
        <v>459</v>
      </c>
      <c r="D216" s="18"/>
      <c r="E216" s="12">
        <v>0.3</v>
      </c>
      <c r="F216" s="19">
        <f t="shared" si="16"/>
        <v>0</v>
      </c>
      <c r="G216" s="20">
        <f t="shared" si="13"/>
        <v>0</v>
      </c>
      <c r="H216" s="18"/>
      <c r="I216" s="15">
        <v>0.3</v>
      </c>
      <c r="J216" s="21">
        <f t="shared" si="14"/>
        <v>0</v>
      </c>
      <c r="K216" s="20">
        <f t="shared" si="15"/>
        <v>0</v>
      </c>
    </row>
    <row r="217" spans="2:11" x14ac:dyDescent="0.3">
      <c r="B217" s="1" t="s">
        <v>152</v>
      </c>
      <c r="C217" s="1" t="s">
        <v>341</v>
      </c>
      <c r="D217" s="18"/>
      <c r="E217" s="12">
        <v>0.3</v>
      </c>
      <c r="F217" s="19">
        <f t="shared" si="16"/>
        <v>0</v>
      </c>
      <c r="G217" s="20">
        <f t="shared" si="13"/>
        <v>0</v>
      </c>
      <c r="H217" s="18"/>
      <c r="I217" s="15">
        <v>0.3</v>
      </c>
      <c r="J217" s="21">
        <f t="shared" si="14"/>
        <v>0</v>
      </c>
      <c r="K217" s="20">
        <f t="shared" si="15"/>
        <v>0</v>
      </c>
    </row>
    <row r="218" spans="2:11" x14ac:dyDescent="0.3">
      <c r="B218" s="1" t="s">
        <v>101</v>
      </c>
      <c r="C218" s="1" t="s">
        <v>388</v>
      </c>
      <c r="D218" s="18"/>
      <c r="E218" s="12">
        <v>0.3</v>
      </c>
      <c r="F218" s="19">
        <f t="shared" si="16"/>
        <v>0</v>
      </c>
      <c r="G218" s="20">
        <f t="shared" si="13"/>
        <v>0</v>
      </c>
      <c r="H218" s="18"/>
      <c r="I218" s="15">
        <v>0.3</v>
      </c>
      <c r="J218" s="21">
        <f t="shared" si="14"/>
        <v>0</v>
      </c>
      <c r="K218" s="20">
        <f t="shared" si="15"/>
        <v>0</v>
      </c>
    </row>
    <row r="219" spans="2:11" x14ac:dyDescent="0.3">
      <c r="B219" s="1" t="s">
        <v>151</v>
      </c>
      <c r="C219" s="1" t="s">
        <v>460</v>
      </c>
      <c r="D219" s="18"/>
      <c r="E219" s="12">
        <v>0.3</v>
      </c>
      <c r="F219" s="19">
        <f t="shared" si="16"/>
        <v>0</v>
      </c>
      <c r="G219" s="20">
        <f t="shared" si="13"/>
        <v>0</v>
      </c>
      <c r="H219" s="18"/>
      <c r="I219" s="15">
        <v>0.3</v>
      </c>
      <c r="J219" s="21">
        <f t="shared" si="14"/>
        <v>0</v>
      </c>
      <c r="K219" s="20">
        <f t="shared" si="15"/>
        <v>0</v>
      </c>
    </row>
    <row r="220" spans="2:11" x14ac:dyDescent="0.3">
      <c r="B220" s="1" t="s">
        <v>102</v>
      </c>
      <c r="C220" s="1" t="s">
        <v>461</v>
      </c>
      <c r="D220" s="18">
        <v>84</v>
      </c>
      <c r="E220" s="12">
        <v>0.3</v>
      </c>
      <c r="F220" s="19">
        <f t="shared" si="16"/>
        <v>120.00000000000001</v>
      </c>
      <c r="G220" s="20">
        <f t="shared" si="13"/>
        <v>36.000000000000014</v>
      </c>
      <c r="H220" s="18">
        <v>94</v>
      </c>
      <c r="I220" s="15">
        <v>0.3</v>
      </c>
      <c r="J220" s="21">
        <f t="shared" si="14"/>
        <v>134.28571428571431</v>
      </c>
      <c r="K220" s="20">
        <f t="shared" si="15"/>
        <v>40.285714285714306</v>
      </c>
    </row>
    <row r="221" spans="2:11" x14ac:dyDescent="0.3">
      <c r="B221" s="1" t="s">
        <v>150</v>
      </c>
      <c r="C221" s="1" t="s">
        <v>462</v>
      </c>
      <c r="D221" s="18"/>
      <c r="E221" s="12">
        <v>0.3</v>
      </c>
      <c r="F221" s="19">
        <f t="shared" si="16"/>
        <v>0</v>
      </c>
      <c r="G221" s="20">
        <f t="shared" si="13"/>
        <v>0</v>
      </c>
      <c r="H221" s="18"/>
      <c r="I221" s="15">
        <v>0.3</v>
      </c>
      <c r="J221" s="21">
        <f t="shared" si="14"/>
        <v>0</v>
      </c>
      <c r="K221" s="20">
        <f t="shared" si="15"/>
        <v>0</v>
      </c>
    </row>
    <row r="222" spans="2:11" x14ac:dyDescent="0.3">
      <c r="B222" s="1" t="s">
        <v>149</v>
      </c>
      <c r="C222" s="1" t="s">
        <v>463</v>
      </c>
      <c r="D222" s="18"/>
      <c r="E222" s="12">
        <v>0.3</v>
      </c>
      <c r="F222" s="19">
        <f t="shared" si="16"/>
        <v>0</v>
      </c>
      <c r="G222" s="20">
        <f t="shared" si="13"/>
        <v>0</v>
      </c>
      <c r="H222" s="18"/>
      <c r="I222" s="15">
        <v>0.3</v>
      </c>
      <c r="J222" s="21">
        <f t="shared" si="14"/>
        <v>0</v>
      </c>
      <c r="K222" s="20">
        <f t="shared" si="15"/>
        <v>0</v>
      </c>
    </row>
    <row r="223" spans="2:11" x14ac:dyDescent="0.3">
      <c r="B223" s="1" t="s">
        <v>148</v>
      </c>
      <c r="C223" s="1" t="s">
        <v>464</v>
      </c>
      <c r="D223" s="18"/>
      <c r="E223" s="12">
        <v>0.3</v>
      </c>
      <c r="F223" s="19">
        <f t="shared" si="16"/>
        <v>0</v>
      </c>
      <c r="G223" s="20">
        <f t="shared" si="13"/>
        <v>0</v>
      </c>
      <c r="H223" s="18"/>
      <c r="I223" s="15">
        <v>0.3</v>
      </c>
      <c r="J223" s="21">
        <f t="shared" si="14"/>
        <v>0</v>
      </c>
      <c r="K223" s="20">
        <f t="shared" si="15"/>
        <v>0</v>
      </c>
    </row>
    <row r="224" spans="2:11" x14ac:dyDescent="0.3">
      <c r="B224" s="1" t="s">
        <v>147</v>
      </c>
      <c r="C224" s="1" t="s">
        <v>372</v>
      </c>
      <c r="D224" s="18"/>
      <c r="E224" s="12">
        <v>0.3</v>
      </c>
      <c r="F224" s="19">
        <f t="shared" si="16"/>
        <v>0</v>
      </c>
      <c r="G224" s="20">
        <f t="shared" si="13"/>
        <v>0</v>
      </c>
      <c r="H224" s="18"/>
      <c r="I224" s="15">
        <v>0.3</v>
      </c>
      <c r="J224" s="21">
        <f t="shared" si="14"/>
        <v>0</v>
      </c>
      <c r="K224" s="20">
        <f t="shared" si="15"/>
        <v>0</v>
      </c>
    </row>
    <row r="225" spans="2:11" x14ac:dyDescent="0.3">
      <c r="B225" s="1" t="s">
        <v>146</v>
      </c>
      <c r="C225" s="1" t="s">
        <v>465</v>
      </c>
      <c r="D225" s="18"/>
      <c r="E225" s="12">
        <v>0.3</v>
      </c>
      <c r="F225" s="19">
        <f t="shared" si="16"/>
        <v>0</v>
      </c>
      <c r="G225" s="20">
        <f t="shared" si="13"/>
        <v>0</v>
      </c>
      <c r="H225" s="18"/>
      <c r="I225" s="15">
        <v>0.3</v>
      </c>
      <c r="J225" s="21">
        <f t="shared" si="14"/>
        <v>0</v>
      </c>
      <c r="K225" s="20">
        <f t="shared" si="15"/>
        <v>0</v>
      </c>
    </row>
    <row r="226" spans="2:11" x14ac:dyDescent="0.3">
      <c r="B226" s="1" t="s">
        <v>145</v>
      </c>
      <c r="C226" s="1" t="s">
        <v>463</v>
      </c>
      <c r="D226" s="18"/>
      <c r="E226" s="12">
        <v>0.3</v>
      </c>
      <c r="F226" s="19">
        <f t="shared" si="16"/>
        <v>0</v>
      </c>
      <c r="G226" s="20">
        <f t="shared" si="13"/>
        <v>0</v>
      </c>
      <c r="H226" s="18"/>
      <c r="I226" s="15">
        <v>0.3</v>
      </c>
      <c r="J226" s="21">
        <f t="shared" si="14"/>
        <v>0</v>
      </c>
      <c r="K226" s="20">
        <f t="shared" si="15"/>
        <v>0</v>
      </c>
    </row>
    <row r="227" spans="2:11" x14ac:dyDescent="0.3">
      <c r="B227" s="1" t="s">
        <v>144</v>
      </c>
      <c r="C227" s="1" t="s">
        <v>463</v>
      </c>
      <c r="D227" s="18"/>
      <c r="E227" s="12">
        <v>0.3</v>
      </c>
      <c r="F227" s="19">
        <f t="shared" si="16"/>
        <v>0</v>
      </c>
      <c r="G227" s="20">
        <f t="shared" si="13"/>
        <v>0</v>
      </c>
      <c r="H227" s="18"/>
      <c r="I227" s="15">
        <v>0.3</v>
      </c>
      <c r="J227" s="21">
        <f t="shared" si="14"/>
        <v>0</v>
      </c>
      <c r="K227" s="20">
        <f t="shared" si="15"/>
        <v>0</v>
      </c>
    </row>
    <row r="228" spans="2:11" x14ac:dyDescent="0.3">
      <c r="B228" s="1" t="s">
        <v>143</v>
      </c>
      <c r="C228" s="1" t="s">
        <v>463</v>
      </c>
      <c r="D228" s="18"/>
      <c r="E228" s="12">
        <v>0.3</v>
      </c>
      <c r="F228" s="19">
        <f t="shared" si="16"/>
        <v>0</v>
      </c>
      <c r="G228" s="20">
        <f t="shared" si="13"/>
        <v>0</v>
      </c>
      <c r="H228" s="18"/>
      <c r="I228" s="15">
        <v>0.3</v>
      </c>
      <c r="J228" s="21">
        <f t="shared" si="14"/>
        <v>0</v>
      </c>
      <c r="K228" s="20">
        <f t="shared" si="15"/>
        <v>0</v>
      </c>
    </row>
    <row r="229" spans="2:11" x14ac:dyDescent="0.3">
      <c r="B229" s="1" t="s">
        <v>142</v>
      </c>
      <c r="C229" s="1" t="s">
        <v>463</v>
      </c>
      <c r="D229" s="18"/>
      <c r="E229" s="12">
        <v>0.3</v>
      </c>
      <c r="F229" s="19">
        <f t="shared" si="16"/>
        <v>0</v>
      </c>
      <c r="G229" s="20">
        <f t="shared" si="13"/>
        <v>0</v>
      </c>
      <c r="H229" s="18"/>
      <c r="I229" s="15">
        <v>0.3</v>
      </c>
      <c r="J229" s="21">
        <f t="shared" si="14"/>
        <v>0</v>
      </c>
      <c r="K229" s="20">
        <f t="shared" si="15"/>
        <v>0</v>
      </c>
    </row>
    <row r="230" spans="2:11" x14ac:dyDescent="0.3">
      <c r="B230" s="1" t="s">
        <v>141</v>
      </c>
      <c r="C230" s="1" t="s">
        <v>466</v>
      </c>
      <c r="D230" s="18"/>
      <c r="E230" s="12">
        <v>0.3</v>
      </c>
      <c r="F230" s="19">
        <f t="shared" si="16"/>
        <v>0</v>
      </c>
      <c r="G230" s="20">
        <f t="shared" si="13"/>
        <v>0</v>
      </c>
      <c r="H230" s="18"/>
      <c r="I230" s="15">
        <v>0.3</v>
      </c>
      <c r="J230" s="21">
        <f t="shared" si="14"/>
        <v>0</v>
      </c>
      <c r="K230" s="20">
        <f t="shared" si="15"/>
        <v>0</v>
      </c>
    </row>
    <row r="231" spans="2:11" x14ac:dyDescent="0.3">
      <c r="B231" s="1" t="s">
        <v>104</v>
      </c>
      <c r="C231" s="1" t="s">
        <v>466</v>
      </c>
      <c r="D231" s="18"/>
      <c r="E231" s="12">
        <v>0.3</v>
      </c>
      <c r="F231" s="19">
        <f t="shared" si="16"/>
        <v>0</v>
      </c>
      <c r="G231" s="20">
        <f t="shared" si="13"/>
        <v>0</v>
      </c>
      <c r="H231" s="18"/>
      <c r="I231" s="15">
        <v>0.3</v>
      </c>
      <c r="J231" s="21">
        <f t="shared" si="14"/>
        <v>0</v>
      </c>
      <c r="K231" s="20">
        <f t="shared" si="15"/>
        <v>0</v>
      </c>
    </row>
    <row r="232" spans="2:11" x14ac:dyDescent="0.3">
      <c r="B232" s="1" t="s">
        <v>105</v>
      </c>
      <c r="C232" s="1" t="s">
        <v>467</v>
      </c>
      <c r="D232" s="18"/>
      <c r="E232" s="12">
        <v>0.3</v>
      </c>
      <c r="F232" s="19">
        <f t="shared" si="16"/>
        <v>0</v>
      </c>
      <c r="G232" s="20">
        <f t="shared" si="13"/>
        <v>0</v>
      </c>
      <c r="H232" s="18"/>
      <c r="I232" s="15">
        <v>0.3</v>
      </c>
      <c r="J232" s="21">
        <f t="shared" si="14"/>
        <v>0</v>
      </c>
      <c r="K232" s="20">
        <f t="shared" si="15"/>
        <v>0</v>
      </c>
    </row>
    <row r="233" spans="2:11" x14ac:dyDescent="0.3">
      <c r="B233" s="1" t="s">
        <v>106</v>
      </c>
      <c r="C233" s="1" t="s">
        <v>468</v>
      </c>
      <c r="D233" s="18"/>
      <c r="E233" s="12">
        <v>0.3</v>
      </c>
      <c r="F233" s="19">
        <f t="shared" ref="F233:F264" si="17">D233/(1-E233)</f>
        <v>0</v>
      </c>
      <c r="G233" s="20">
        <f t="shared" si="13"/>
        <v>0</v>
      </c>
      <c r="H233" s="18"/>
      <c r="I233" s="15">
        <v>0.3</v>
      </c>
      <c r="J233" s="21">
        <f t="shared" si="14"/>
        <v>0</v>
      </c>
      <c r="K233" s="20">
        <f t="shared" si="15"/>
        <v>0</v>
      </c>
    </row>
    <row r="234" spans="2:11" x14ac:dyDescent="0.3">
      <c r="B234" s="1" t="s">
        <v>107</v>
      </c>
      <c r="C234" s="1" t="s">
        <v>469</v>
      </c>
      <c r="D234" s="18"/>
      <c r="E234" s="12">
        <v>0.3</v>
      </c>
      <c r="F234" s="19">
        <f t="shared" si="17"/>
        <v>0</v>
      </c>
      <c r="G234" s="20">
        <f t="shared" si="13"/>
        <v>0</v>
      </c>
      <c r="H234" s="18"/>
      <c r="I234" s="15">
        <v>0.3</v>
      </c>
      <c r="J234" s="21">
        <f t="shared" si="14"/>
        <v>0</v>
      </c>
      <c r="K234" s="20">
        <f t="shared" si="15"/>
        <v>0</v>
      </c>
    </row>
    <row r="235" spans="2:11" x14ac:dyDescent="0.3">
      <c r="B235" s="1" t="s">
        <v>140</v>
      </c>
      <c r="C235" s="1" t="s">
        <v>470</v>
      </c>
      <c r="D235" s="18"/>
      <c r="E235" s="12">
        <v>0.3</v>
      </c>
      <c r="F235" s="19">
        <f t="shared" si="17"/>
        <v>0</v>
      </c>
      <c r="G235" s="20">
        <f t="shared" si="13"/>
        <v>0</v>
      </c>
      <c r="H235" s="18"/>
      <c r="I235" s="15">
        <v>0.3</v>
      </c>
      <c r="J235" s="21">
        <f t="shared" si="14"/>
        <v>0</v>
      </c>
      <c r="K235" s="20">
        <f t="shared" si="15"/>
        <v>0</v>
      </c>
    </row>
    <row r="236" spans="2:11" x14ac:dyDescent="0.3">
      <c r="B236" s="1" t="s">
        <v>108</v>
      </c>
      <c r="C236" s="1" t="s">
        <v>471</v>
      </c>
      <c r="D236" s="18"/>
      <c r="E236" s="12">
        <v>0.3</v>
      </c>
      <c r="F236" s="19">
        <f t="shared" si="17"/>
        <v>0</v>
      </c>
      <c r="G236" s="20">
        <f t="shared" si="13"/>
        <v>0</v>
      </c>
      <c r="H236" s="18"/>
      <c r="I236" s="15">
        <v>0.3</v>
      </c>
      <c r="J236" s="21">
        <f t="shared" si="14"/>
        <v>0</v>
      </c>
      <c r="K236" s="20">
        <f t="shared" si="15"/>
        <v>0</v>
      </c>
    </row>
    <row r="237" spans="2:11" x14ac:dyDescent="0.3">
      <c r="B237" s="1" t="s">
        <v>103</v>
      </c>
      <c r="C237" s="1" t="s">
        <v>472</v>
      </c>
      <c r="D237" s="18"/>
      <c r="E237" s="12">
        <v>0.3</v>
      </c>
      <c r="F237" s="19">
        <f t="shared" si="17"/>
        <v>0</v>
      </c>
      <c r="G237" s="20">
        <f t="shared" si="13"/>
        <v>0</v>
      </c>
      <c r="H237" s="18"/>
      <c r="I237" s="15">
        <v>0.3</v>
      </c>
      <c r="J237" s="21">
        <f t="shared" si="14"/>
        <v>0</v>
      </c>
      <c r="K237" s="20">
        <f t="shared" si="15"/>
        <v>0</v>
      </c>
    </row>
    <row r="238" spans="2:11" x14ac:dyDescent="0.3">
      <c r="B238" s="1" t="s">
        <v>109</v>
      </c>
      <c r="C238" s="1" t="s">
        <v>473</v>
      </c>
      <c r="D238" s="18"/>
      <c r="E238" s="12">
        <v>0.3</v>
      </c>
      <c r="F238" s="19">
        <f t="shared" si="17"/>
        <v>0</v>
      </c>
      <c r="G238" s="20">
        <f t="shared" si="13"/>
        <v>0</v>
      </c>
      <c r="H238" s="18"/>
      <c r="I238" s="15">
        <v>0.3</v>
      </c>
      <c r="J238" s="21">
        <f t="shared" si="14"/>
        <v>0</v>
      </c>
      <c r="K238" s="20">
        <f t="shared" si="15"/>
        <v>0</v>
      </c>
    </row>
    <row r="239" spans="2:11" x14ac:dyDescent="0.3">
      <c r="B239" s="1" t="s">
        <v>110</v>
      </c>
      <c r="C239" s="1" t="s">
        <v>474</v>
      </c>
      <c r="D239" s="18"/>
      <c r="E239" s="12">
        <v>0.3</v>
      </c>
      <c r="F239" s="19">
        <f t="shared" si="17"/>
        <v>0</v>
      </c>
      <c r="G239" s="20">
        <f t="shared" si="13"/>
        <v>0</v>
      </c>
      <c r="H239" s="18"/>
      <c r="I239" s="15">
        <v>0.3</v>
      </c>
      <c r="J239" s="21">
        <f t="shared" si="14"/>
        <v>0</v>
      </c>
      <c r="K239" s="20">
        <f t="shared" si="15"/>
        <v>0</v>
      </c>
    </row>
    <row r="240" spans="2:11" x14ac:dyDescent="0.3">
      <c r="B240" s="1" t="s">
        <v>111</v>
      </c>
      <c r="C240" s="1" t="s">
        <v>475</v>
      </c>
      <c r="D240" s="18"/>
      <c r="E240" s="12">
        <v>0.3</v>
      </c>
      <c r="F240" s="19">
        <f t="shared" si="17"/>
        <v>0</v>
      </c>
      <c r="G240" s="20">
        <f t="shared" si="13"/>
        <v>0</v>
      </c>
      <c r="H240" s="18"/>
      <c r="I240" s="15">
        <v>0.3</v>
      </c>
      <c r="J240" s="21">
        <f t="shared" si="14"/>
        <v>0</v>
      </c>
      <c r="K240" s="20">
        <f t="shared" si="15"/>
        <v>0</v>
      </c>
    </row>
    <row r="241" spans="2:11" x14ac:dyDescent="0.3">
      <c r="B241" s="1" t="s">
        <v>112</v>
      </c>
      <c r="C241" s="1" t="s">
        <v>476</v>
      </c>
      <c r="D241" s="18"/>
      <c r="E241" s="12">
        <v>0.3</v>
      </c>
      <c r="F241" s="19">
        <f t="shared" si="17"/>
        <v>0</v>
      </c>
      <c r="G241" s="20">
        <f t="shared" si="13"/>
        <v>0</v>
      </c>
      <c r="H241" s="18"/>
      <c r="I241" s="15">
        <v>0.3</v>
      </c>
      <c r="J241" s="21">
        <f t="shared" si="14"/>
        <v>0</v>
      </c>
      <c r="K241" s="20">
        <f t="shared" si="15"/>
        <v>0</v>
      </c>
    </row>
    <row r="242" spans="2:11" x14ac:dyDescent="0.3">
      <c r="B242" s="1" t="s">
        <v>113</v>
      </c>
      <c r="C242" s="1" t="s">
        <v>477</v>
      </c>
      <c r="D242" s="18"/>
      <c r="E242" s="12">
        <v>0.3</v>
      </c>
      <c r="F242" s="19">
        <f t="shared" si="17"/>
        <v>0</v>
      </c>
      <c r="G242" s="20">
        <f t="shared" si="13"/>
        <v>0</v>
      </c>
      <c r="H242" s="18"/>
      <c r="I242" s="15">
        <v>0.3</v>
      </c>
      <c r="J242" s="21">
        <f t="shared" si="14"/>
        <v>0</v>
      </c>
      <c r="K242" s="20">
        <f t="shared" si="15"/>
        <v>0</v>
      </c>
    </row>
    <row r="243" spans="2:11" x14ac:dyDescent="0.3">
      <c r="B243" s="1" t="s">
        <v>114</v>
      </c>
      <c r="C243" s="1" t="s">
        <v>477</v>
      </c>
      <c r="D243" s="18"/>
      <c r="E243" s="12">
        <v>0.3</v>
      </c>
      <c r="F243" s="19">
        <f t="shared" si="17"/>
        <v>0</v>
      </c>
      <c r="G243" s="20">
        <f t="shared" si="13"/>
        <v>0</v>
      </c>
      <c r="H243" s="18"/>
      <c r="I243" s="15">
        <v>0.3</v>
      </c>
      <c r="J243" s="21">
        <f t="shared" si="14"/>
        <v>0</v>
      </c>
      <c r="K243" s="20">
        <f t="shared" si="15"/>
        <v>0</v>
      </c>
    </row>
    <row r="244" spans="2:11" x14ac:dyDescent="0.3">
      <c r="B244" s="1" t="s">
        <v>139</v>
      </c>
      <c r="C244" s="1" t="s">
        <v>478</v>
      </c>
      <c r="D244" s="18"/>
      <c r="E244" s="12">
        <v>0.3</v>
      </c>
      <c r="F244" s="19">
        <f t="shared" si="17"/>
        <v>0</v>
      </c>
      <c r="G244" s="20">
        <f t="shared" si="13"/>
        <v>0</v>
      </c>
      <c r="H244" s="18"/>
      <c r="I244" s="15">
        <v>0.3</v>
      </c>
      <c r="J244" s="21">
        <f t="shared" si="14"/>
        <v>0</v>
      </c>
      <c r="K244" s="20">
        <f t="shared" si="15"/>
        <v>0</v>
      </c>
    </row>
    <row r="245" spans="2:11" x14ac:dyDescent="0.3">
      <c r="B245" s="1" t="s">
        <v>115</v>
      </c>
      <c r="C245" s="1" t="s">
        <v>479</v>
      </c>
      <c r="D245" s="18"/>
      <c r="E245" s="12">
        <v>0.3</v>
      </c>
      <c r="F245" s="19">
        <f t="shared" si="17"/>
        <v>0</v>
      </c>
      <c r="G245" s="20">
        <f t="shared" si="13"/>
        <v>0</v>
      </c>
      <c r="H245" s="18"/>
      <c r="I245" s="15">
        <v>0.3</v>
      </c>
      <c r="J245" s="21">
        <f t="shared" si="14"/>
        <v>0</v>
      </c>
      <c r="K245" s="20">
        <f t="shared" si="15"/>
        <v>0</v>
      </c>
    </row>
    <row r="246" spans="2:11" x14ac:dyDescent="0.3">
      <c r="B246" s="1" t="s">
        <v>138</v>
      </c>
      <c r="C246" s="1" t="s">
        <v>480</v>
      </c>
      <c r="D246" s="18"/>
      <c r="E246" s="12">
        <v>0.3</v>
      </c>
      <c r="F246" s="19">
        <f t="shared" si="17"/>
        <v>0</v>
      </c>
      <c r="G246" s="20">
        <f t="shared" si="13"/>
        <v>0</v>
      </c>
      <c r="H246" s="18"/>
      <c r="I246" s="15">
        <v>0.3</v>
      </c>
      <c r="J246" s="21">
        <f t="shared" si="14"/>
        <v>0</v>
      </c>
      <c r="K246" s="20">
        <f t="shared" si="15"/>
        <v>0</v>
      </c>
    </row>
    <row r="247" spans="2:11" x14ac:dyDescent="0.3">
      <c r="B247" s="1" t="s">
        <v>137</v>
      </c>
      <c r="C247" s="1" t="s">
        <v>481</v>
      </c>
      <c r="D247" s="18">
        <v>81</v>
      </c>
      <c r="E247" s="12">
        <v>0.3</v>
      </c>
      <c r="F247" s="19">
        <f t="shared" si="17"/>
        <v>115.71428571428572</v>
      </c>
      <c r="G247" s="20">
        <f t="shared" si="13"/>
        <v>34.714285714285722</v>
      </c>
      <c r="H247" s="18"/>
      <c r="I247" s="15">
        <v>0.3</v>
      </c>
      <c r="J247" s="21">
        <f t="shared" si="14"/>
        <v>0</v>
      </c>
      <c r="K247" s="20">
        <f t="shared" si="15"/>
        <v>0</v>
      </c>
    </row>
    <row r="248" spans="2:11" x14ac:dyDescent="0.3">
      <c r="B248" s="1" t="s">
        <v>136</v>
      </c>
      <c r="C248" s="1" t="s">
        <v>482</v>
      </c>
      <c r="D248" s="18">
        <v>79</v>
      </c>
      <c r="E248" s="12">
        <v>0.3</v>
      </c>
      <c r="F248" s="19">
        <f t="shared" si="17"/>
        <v>112.85714285714286</v>
      </c>
      <c r="G248" s="20">
        <f t="shared" si="13"/>
        <v>33.857142857142861</v>
      </c>
      <c r="H248" s="18">
        <v>90</v>
      </c>
      <c r="I248" s="15">
        <v>0.3</v>
      </c>
      <c r="J248" s="21">
        <f t="shared" si="14"/>
        <v>128.57142857142858</v>
      </c>
      <c r="K248" s="20">
        <f t="shared" si="15"/>
        <v>38.571428571428584</v>
      </c>
    </row>
    <row r="249" spans="2:11" x14ac:dyDescent="0.3">
      <c r="B249" s="1" t="s">
        <v>135</v>
      </c>
      <c r="C249" s="1" t="s">
        <v>483</v>
      </c>
      <c r="D249" s="18"/>
      <c r="E249" s="12">
        <v>0.3</v>
      </c>
      <c r="F249" s="19">
        <f t="shared" si="17"/>
        <v>0</v>
      </c>
      <c r="G249" s="20">
        <f t="shared" si="13"/>
        <v>0</v>
      </c>
      <c r="H249" s="18"/>
      <c r="I249" s="15">
        <v>0.3</v>
      </c>
      <c r="J249" s="21">
        <f t="shared" si="14"/>
        <v>0</v>
      </c>
      <c r="K249" s="20">
        <f t="shared" si="15"/>
        <v>0</v>
      </c>
    </row>
    <row r="250" spans="2:11" x14ac:dyDescent="0.3">
      <c r="B250" s="1" t="s">
        <v>131</v>
      </c>
      <c r="C250" s="1" t="s">
        <v>484</v>
      </c>
      <c r="D250" s="18"/>
      <c r="E250" s="12">
        <v>0.3</v>
      </c>
      <c r="F250" s="19">
        <f t="shared" si="17"/>
        <v>0</v>
      </c>
      <c r="G250" s="20">
        <f t="shared" si="13"/>
        <v>0</v>
      </c>
      <c r="H250" s="18"/>
      <c r="I250" s="15">
        <v>0.3</v>
      </c>
      <c r="J250" s="21">
        <f t="shared" si="14"/>
        <v>0</v>
      </c>
      <c r="K250" s="20">
        <f t="shared" si="15"/>
        <v>0</v>
      </c>
    </row>
    <row r="251" spans="2:11" x14ac:dyDescent="0.3">
      <c r="B251" s="1" t="s">
        <v>132</v>
      </c>
      <c r="C251" s="1" t="s">
        <v>485</v>
      </c>
      <c r="D251" s="18"/>
      <c r="E251" s="12">
        <v>0.3</v>
      </c>
      <c r="F251" s="19">
        <f t="shared" si="17"/>
        <v>0</v>
      </c>
      <c r="G251" s="20">
        <f t="shared" si="13"/>
        <v>0</v>
      </c>
      <c r="H251" s="18"/>
      <c r="I251" s="15">
        <v>0.3</v>
      </c>
      <c r="J251" s="21">
        <f t="shared" si="14"/>
        <v>0</v>
      </c>
      <c r="K251" s="20">
        <f t="shared" si="15"/>
        <v>0</v>
      </c>
    </row>
    <row r="252" spans="2:11" x14ac:dyDescent="0.3">
      <c r="B252" s="1" t="s">
        <v>133</v>
      </c>
      <c r="C252" s="1" t="s">
        <v>486</v>
      </c>
      <c r="D252" s="18"/>
      <c r="E252" s="12">
        <v>0.3</v>
      </c>
      <c r="F252" s="19">
        <f t="shared" si="17"/>
        <v>0</v>
      </c>
      <c r="G252" s="20">
        <f t="shared" si="13"/>
        <v>0</v>
      </c>
      <c r="H252" s="18"/>
      <c r="I252" s="15">
        <v>0.3</v>
      </c>
      <c r="J252" s="21">
        <f t="shared" si="14"/>
        <v>0</v>
      </c>
      <c r="K252" s="20">
        <f t="shared" si="15"/>
        <v>0</v>
      </c>
    </row>
    <row r="253" spans="2:11" x14ac:dyDescent="0.3">
      <c r="B253" s="1" t="s">
        <v>134</v>
      </c>
      <c r="C253" s="1" t="s">
        <v>487</v>
      </c>
      <c r="D253" s="18"/>
      <c r="E253" s="12">
        <v>0.3</v>
      </c>
      <c r="F253" s="19">
        <f t="shared" si="17"/>
        <v>0</v>
      </c>
      <c r="G253" s="20">
        <f t="shared" si="13"/>
        <v>0</v>
      </c>
      <c r="H253" s="18"/>
      <c r="I253" s="15">
        <v>0.3</v>
      </c>
      <c r="J253" s="21">
        <f t="shared" si="14"/>
        <v>0</v>
      </c>
      <c r="K253" s="20">
        <f t="shared" si="15"/>
        <v>0</v>
      </c>
    </row>
    <row r="254" spans="2:11" x14ac:dyDescent="0.3">
      <c r="B254" s="1" t="s">
        <v>116</v>
      </c>
      <c r="C254" s="1" t="s">
        <v>488</v>
      </c>
      <c r="D254" s="18">
        <v>82</v>
      </c>
      <c r="E254" s="12">
        <v>0.3</v>
      </c>
      <c r="F254" s="19">
        <f t="shared" si="17"/>
        <v>117.14285714285715</v>
      </c>
      <c r="G254" s="20">
        <f t="shared" si="13"/>
        <v>35.142857142857153</v>
      </c>
      <c r="H254" s="18"/>
      <c r="I254" s="15">
        <v>0.3</v>
      </c>
      <c r="J254" s="21">
        <f t="shared" si="14"/>
        <v>0</v>
      </c>
      <c r="K254" s="20">
        <f t="shared" si="15"/>
        <v>0</v>
      </c>
    </row>
    <row r="255" spans="2:11" x14ac:dyDescent="0.3">
      <c r="B255" s="1" t="s">
        <v>117</v>
      </c>
      <c r="C255" s="1" t="s">
        <v>489</v>
      </c>
      <c r="D255" s="18"/>
      <c r="E255" s="12">
        <v>0.3</v>
      </c>
      <c r="F255" s="19">
        <f t="shared" si="17"/>
        <v>0</v>
      </c>
      <c r="G255" s="20">
        <f t="shared" si="13"/>
        <v>0</v>
      </c>
      <c r="H255" s="18"/>
      <c r="I255" s="15">
        <v>0.3</v>
      </c>
      <c r="J255" s="21">
        <f t="shared" si="14"/>
        <v>0</v>
      </c>
      <c r="K255" s="20">
        <f t="shared" si="15"/>
        <v>0</v>
      </c>
    </row>
    <row r="256" spans="2:11" x14ac:dyDescent="0.3">
      <c r="B256" s="1" t="s">
        <v>118</v>
      </c>
      <c r="C256" s="1" t="s">
        <v>490</v>
      </c>
      <c r="D256" s="18"/>
      <c r="E256" s="12">
        <v>0.3</v>
      </c>
      <c r="F256" s="19">
        <f t="shared" si="17"/>
        <v>0</v>
      </c>
      <c r="G256" s="20">
        <f t="shared" si="13"/>
        <v>0</v>
      </c>
      <c r="H256" s="18"/>
      <c r="I256" s="15">
        <v>0.3</v>
      </c>
      <c r="J256" s="21">
        <f t="shared" si="14"/>
        <v>0</v>
      </c>
      <c r="K256" s="20">
        <f t="shared" si="15"/>
        <v>0</v>
      </c>
    </row>
    <row r="257" spans="2:11" x14ac:dyDescent="0.3">
      <c r="B257" s="1" t="s">
        <v>119</v>
      </c>
      <c r="C257" s="1" t="s">
        <v>491</v>
      </c>
      <c r="D257" s="18"/>
      <c r="E257" s="12">
        <v>0.3</v>
      </c>
      <c r="F257" s="19">
        <f t="shared" si="17"/>
        <v>0</v>
      </c>
      <c r="G257" s="20">
        <f t="shared" si="13"/>
        <v>0</v>
      </c>
      <c r="H257" s="18"/>
      <c r="I257" s="15">
        <v>0.3</v>
      </c>
      <c r="J257" s="21">
        <f t="shared" si="14"/>
        <v>0</v>
      </c>
      <c r="K257" s="20">
        <f t="shared" si="15"/>
        <v>0</v>
      </c>
    </row>
    <row r="258" spans="2:11" x14ac:dyDescent="0.3">
      <c r="B258" s="1" t="s">
        <v>120</v>
      </c>
      <c r="C258" s="1" t="s">
        <v>371</v>
      </c>
      <c r="D258" s="18"/>
      <c r="E258" s="12">
        <v>0.3</v>
      </c>
      <c r="F258" s="19">
        <f t="shared" si="17"/>
        <v>0</v>
      </c>
      <c r="G258" s="20">
        <f t="shared" si="13"/>
        <v>0</v>
      </c>
      <c r="H258" s="18"/>
      <c r="I258" s="15">
        <v>0.3</v>
      </c>
      <c r="J258" s="21">
        <f t="shared" si="14"/>
        <v>0</v>
      </c>
      <c r="K258" s="20">
        <f t="shared" si="15"/>
        <v>0</v>
      </c>
    </row>
    <row r="259" spans="2:11" x14ac:dyDescent="0.3">
      <c r="B259" s="1" t="s">
        <v>127</v>
      </c>
      <c r="C259" s="1" t="s">
        <v>492</v>
      </c>
      <c r="D259" s="18"/>
      <c r="E259" s="12">
        <v>0.3</v>
      </c>
      <c r="F259" s="19">
        <f t="shared" si="17"/>
        <v>0</v>
      </c>
      <c r="G259" s="20">
        <f t="shared" ref="G259:G265" si="18">F259-D259</f>
        <v>0</v>
      </c>
      <c r="H259" s="18"/>
      <c r="I259" s="15">
        <v>0.3</v>
      </c>
      <c r="J259" s="21">
        <f t="shared" ref="J259:J265" si="19">H259/(1-I259)</f>
        <v>0</v>
      </c>
      <c r="K259" s="20">
        <f t="shared" ref="K259:K265" si="20">J259-H259</f>
        <v>0</v>
      </c>
    </row>
    <row r="260" spans="2:11" x14ac:dyDescent="0.3">
      <c r="B260" s="1" t="s">
        <v>128</v>
      </c>
      <c r="C260" s="1" t="s">
        <v>129</v>
      </c>
      <c r="D260" s="18"/>
      <c r="E260" s="12">
        <v>0.3</v>
      </c>
      <c r="F260" s="19">
        <f t="shared" si="17"/>
        <v>0</v>
      </c>
      <c r="G260" s="20">
        <f t="shared" si="18"/>
        <v>0</v>
      </c>
      <c r="H260" s="18"/>
      <c r="I260" s="15">
        <v>0.3</v>
      </c>
      <c r="J260" s="21">
        <f t="shared" si="19"/>
        <v>0</v>
      </c>
      <c r="K260" s="20">
        <f t="shared" si="20"/>
        <v>0</v>
      </c>
    </row>
    <row r="261" spans="2:11" x14ac:dyDescent="0.3">
      <c r="B261" s="1" t="s">
        <v>121</v>
      </c>
      <c r="C261" s="1" t="s">
        <v>367</v>
      </c>
      <c r="D261" s="18"/>
      <c r="E261" s="12">
        <v>0.3</v>
      </c>
      <c r="F261" s="19">
        <f t="shared" si="17"/>
        <v>0</v>
      </c>
      <c r="G261" s="20">
        <f t="shared" si="18"/>
        <v>0</v>
      </c>
      <c r="H261" s="18"/>
      <c r="I261" s="15">
        <v>0.3</v>
      </c>
      <c r="J261" s="21">
        <f t="shared" si="19"/>
        <v>0</v>
      </c>
      <c r="K261" s="20">
        <f t="shared" si="20"/>
        <v>0</v>
      </c>
    </row>
    <row r="262" spans="2:11" x14ac:dyDescent="0.3">
      <c r="B262" s="1" t="s">
        <v>122</v>
      </c>
      <c r="C262" s="1" t="s">
        <v>493</v>
      </c>
      <c r="D262" s="18">
        <v>70</v>
      </c>
      <c r="E262" s="12">
        <v>0.3</v>
      </c>
      <c r="F262" s="19">
        <f t="shared" si="17"/>
        <v>100</v>
      </c>
      <c r="G262" s="20">
        <f t="shared" si="18"/>
        <v>30</v>
      </c>
      <c r="H262" s="18">
        <v>78</v>
      </c>
      <c r="I262" s="15">
        <v>0.3</v>
      </c>
      <c r="J262" s="21">
        <f t="shared" si="19"/>
        <v>111.42857142857143</v>
      </c>
      <c r="K262" s="20">
        <f t="shared" si="20"/>
        <v>33.428571428571431</v>
      </c>
    </row>
    <row r="263" spans="2:11" x14ac:dyDescent="0.3">
      <c r="B263" s="1" t="s">
        <v>130</v>
      </c>
      <c r="C263" s="1" t="s">
        <v>275</v>
      </c>
      <c r="D263" s="18"/>
      <c r="E263" s="12">
        <v>0.3</v>
      </c>
      <c r="F263" s="19">
        <f t="shared" si="17"/>
        <v>0</v>
      </c>
      <c r="G263" s="20">
        <f t="shared" si="18"/>
        <v>0</v>
      </c>
      <c r="H263" s="18"/>
      <c r="I263" s="15">
        <v>0.3</v>
      </c>
      <c r="J263" s="21">
        <f t="shared" si="19"/>
        <v>0</v>
      </c>
      <c r="K263" s="20">
        <f t="shared" si="20"/>
        <v>0</v>
      </c>
    </row>
    <row r="264" spans="2:11" x14ac:dyDescent="0.3">
      <c r="B264" s="1" t="s">
        <v>123</v>
      </c>
      <c r="C264" s="1" t="s">
        <v>275</v>
      </c>
      <c r="D264" s="18">
        <v>79</v>
      </c>
      <c r="E264" s="12">
        <v>0.3</v>
      </c>
      <c r="F264" s="19">
        <f t="shared" si="17"/>
        <v>112.85714285714286</v>
      </c>
      <c r="G264" s="20">
        <f t="shared" si="18"/>
        <v>33.857142857142861</v>
      </c>
      <c r="H264" s="18">
        <v>89</v>
      </c>
      <c r="I264" s="15">
        <v>0.3</v>
      </c>
      <c r="J264" s="21">
        <f t="shared" si="19"/>
        <v>127.14285714285715</v>
      </c>
      <c r="K264" s="20">
        <f t="shared" si="20"/>
        <v>38.142857142857153</v>
      </c>
    </row>
    <row r="265" spans="2:11" x14ac:dyDescent="0.3">
      <c r="B265" s="1" t="s">
        <v>124</v>
      </c>
      <c r="C265" s="1" t="s">
        <v>494</v>
      </c>
      <c r="D265" s="18"/>
      <c r="E265" s="12">
        <v>0.3</v>
      </c>
      <c r="F265" s="19">
        <f>D265/(1-E265)</f>
        <v>0</v>
      </c>
      <c r="G265" s="20">
        <f t="shared" si="18"/>
        <v>0</v>
      </c>
      <c r="H265" s="18"/>
      <c r="I265" s="15">
        <v>0.3</v>
      </c>
      <c r="J265" s="21">
        <f t="shared" si="19"/>
        <v>0</v>
      </c>
      <c r="K265" s="20">
        <f t="shared" si="20"/>
        <v>0</v>
      </c>
    </row>
  </sheetData>
  <sortState xmlns:xlrd2="http://schemas.microsoft.com/office/spreadsheetml/2017/richdata2" ref="B2:C187">
    <sortCondition ref="B2:B187"/>
  </sortState>
  <pageMargins left="0.7" right="0.7" top="0.75" bottom="0.75" header="0.3" footer="0.3"/>
  <pageSetup paperSize="9" scale="75" fitToWidth="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5F40-A9D4-4279-A3D8-765D1D2C4462}">
  <dimension ref="A1:J21"/>
  <sheetViews>
    <sheetView topLeftCell="A10" workbookViewId="0">
      <selection activeCell="E21" sqref="E21"/>
    </sheetView>
  </sheetViews>
  <sheetFormatPr baseColWidth="10" defaultRowHeight="16.5" x14ac:dyDescent="0.3"/>
  <cols>
    <col min="4" max="4" width="46" customWidth="1"/>
  </cols>
  <sheetData>
    <row r="1" spans="1:9" x14ac:dyDescent="0.3">
      <c r="A1" t="s">
        <v>496</v>
      </c>
      <c r="B1" t="s">
        <v>499</v>
      </c>
      <c r="C1" t="s">
        <v>620</v>
      </c>
      <c r="D1" t="s">
        <v>500</v>
      </c>
      <c r="E1" t="s">
        <v>501</v>
      </c>
      <c r="F1" t="s">
        <v>639</v>
      </c>
      <c r="G1" s="2" t="s">
        <v>640</v>
      </c>
      <c r="H1" t="s">
        <v>504</v>
      </c>
      <c r="I1" t="s">
        <v>505</v>
      </c>
    </row>
    <row r="2" spans="1:9" x14ac:dyDescent="0.3">
      <c r="B2" t="s">
        <v>950</v>
      </c>
      <c r="C2">
        <v>48</v>
      </c>
      <c r="D2" t="s">
        <v>951</v>
      </c>
      <c r="E2" s="3">
        <v>35</v>
      </c>
      <c r="F2" s="8">
        <v>0.3</v>
      </c>
      <c r="G2" s="6">
        <f>E2/(1-F2)</f>
        <v>50</v>
      </c>
      <c r="H2" s="3">
        <f>G2-E2</f>
        <v>15</v>
      </c>
    </row>
    <row r="3" spans="1:9" x14ac:dyDescent="0.3">
      <c r="B3" t="s">
        <v>952</v>
      </c>
      <c r="C3">
        <v>40</v>
      </c>
      <c r="D3" t="s">
        <v>953</v>
      </c>
      <c r="E3" s="3">
        <v>20</v>
      </c>
      <c r="F3" s="8">
        <v>0.3</v>
      </c>
      <c r="G3" s="6">
        <f t="shared" ref="G3:G21" si="0">E3/(1-F3)</f>
        <v>28.571428571428573</v>
      </c>
      <c r="H3" s="3">
        <f t="shared" ref="H3:H21" si="1">G3-E3</f>
        <v>8.571428571428573</v>
      </c>
    </row>
    <row r="4" spans="1:9" x14ac:dyDescent="0.3">
      <c r="B4" t="s">
        <v>954</v>
      </c>
      <c r="C4">
        <v>47</v>
      </c>
      <c r="D4" t="s">
        <v>955</v>
      </c>
      <c r="E4" s="3">
        <v>23</v>
      </c>
      <c r="F4" s="8">
        <v>0.3</v>
      </c>
      <c r="G4" s="6">
        <f t="shared" si="0"/>
        <v>32.857142857142861</v>
      </c>
      <c r="H4" s="3">
        <f t="shared" si="1"/>
        <v>9.8571428571428612</v>
      </c>
    </row>
    <row r="5" spans="1:9" x14ac:dyDescent="0.3">
      <c r="B5" t="s">
        <v>956</v>
      </c>
      <c r="C5">
        <v>40</v>
      </c>
      <c r="D5" t="s">
        <v>957</v>
      </c>
      <c r="E5" s="3">
        <v>23</v>
      </c>
      <c r="F5" s="8">
        <v>0.3</v>
      </c>
      <c r="G5" s="6">
        <f t="shared" si="0"/>
        <v>32.857142857142861</v>
      </c>
      <c r="H5" s="3">
        <f t="shared" si="1"/>
        <v>9.8571428571428612</v>
      </c>
    </row>
    <row r="6" spans="1:9" x14ac:dyDescent="0.3">
      <c r="A6" t="s">
        <v>1019</v>
      </c>
      <c r="B6" t="s">
        <v>958</v>
      </c>
      <c r="C6">
        <v>42</v>
      </c>
      <c r="D6" t="s">
        <v>1137</v>
      </c>
      <c r="E6" s="3">
        <v>18</v>
      </c>
      <c r="F6" s="8">
        <v>0.3</v>
      </c>
      <c r="G6" s="6">
        <f t="shared" si="0"/>
        <v>25.714285714285715</v>
      </c>
      <c r="H6" s="3">
        <f t="shared" si="1"/>
        <v>7.7142857142857153</v>
      </c>
    </row>
    <row r="7" spans="1:9" x14ac:dyDescent="0.3">
      <c r="B7" t="s">
        <v>959</v>
      </c>
      <c r="C7">
        <v>37</v>
      </c>
      <c r="D7" t="s">
        <v>960</v>
      </c>
      <c r="E7" s="3">
        <v>10</v>
      </c>
      <c r="F7" s="8">
        <v>0.6</v>
      </c>
      <c r="G7" s="6">
        <f t="shared" si="0"/>
        <v>25</v>
      </c>
      <c r="H7" s="3">
        <f t="shared" si="1"/>
        <v>15</v>
      </c>
    </row>
    <row r="8" spans="1:9" x14ac:dyDescent="0.3">
      <c r="B8" t="s">
        <v>961</v>
      </c>
      <c r="C8">
        <v>36</v>
      </c>
      <c r="D8" t="s">
        <v>962</v>
      </c>
      <c r="E8" s="3">
        <v>10</v>
      </c>
      <c r="F8" s="8">
        <v>0.6</v>
      </c>
      <c r="G8" s="6">
        <f t="shared" si="0"/>
        <v>25</v>
      </c>
      <c r="H8" s="3">
        <f t="shared" si="1"/>
        <v>15</v>
      </c>
    </row>
    <row r="9" spans="1:9" x14ac:dyDescent="0.3">
      <c r="B9" t="s">
        <v>963</v>
      </c>
      <c r="C9">
        <v>36</v>
      </c>
      <c r="D9" t="s">
        <v>964</v>
      </c>
      <c r="E9" s="3">
        <v>10</v>
      </c>
      <c r="F9" s="8">
        <v>0.6</v>
      </c>
      <c r="G9" s="6">
        <f t="shared" si="0"/>
        <v>25</v>
      </c>
      <c r="H9" s="3">
        <f t="shared" si="1"/>
        <v>15</v>
      </c>
    </row>
    <row r="10" spans="1:9" x14ac:dyDescent="0.3">
      <c r="B10" t="s">
        <v>965</v>
      </c>
      <c r="C10">
        <v>50</v>
      </c>
      <c r="D10" t="s">
        <v>966</v>
      </c>
      <c r="E10" s="3">
        <v>16</v>
      </c>
      <c r="F10" s="8">
        <v>0.3</v>
      </c>
      <c r="G10" s="6">
        <f t="shared" si="0"/>
        <v>22.857142857142858</v>
      </c>
      <c r="H10" s="3">
        <f t="shared" si="1"/>
        <v>6.8571428571428577</v>
      </c>
    </row>
    <row r="11" spans="1:9" x14ac:dyDescent="0.3">
      <c r="B11" t="s">
        <v>967</v>
      </c>
      <c r="C11">
        <v>50</v>
      </c>
      <c r="D11" t="s">
        <v>968</v>
      </c>
      <c r="E11" s="3">
        <v>16</v>
      </c>
      <c r="F11" s="8">
        <v>0.3</v>
      </c>
      <c r="G11" s="6">
        <f t="shared" si="0"/>
        <v>22.857142857142858</v>
      </c>
      <c r="H11" s="3">
        <f t="shared" si="1"/>
        <v>6.8571428571428577</v>
      </c>
    </row>
    <row r="12" spans="1:9" x14ac:dyDescent="0.3">
      <c r="B12" t="s">
        <v>969</v>
      </c>
      <c r="C12">
        <v>48</v>
      </c>
      <c r="D12" t="s">
        <v>970</v>
      </c>
      <c r="E12" s="3">
        <v>18</v>
      </c>
      <c r="F12" s="8">
        <v>0.3</v>
      </c>
      <c r="G12" s="6">
        <f t="shared" si="0"/>
        <v>25.714285714285715</v>
      </c>
      <c r="H12" s="3">
        <f t="shared" si="1"/>
        <v>7.7142857142857153</v>
      </c>
    </row>
    <row r="13" spans="1:9" x14ac:dyDescent="0.3">
      <c r="B13" t="s">
        <v>971</v>
      </c>
      <c r="C13">
        <v>43</v>
      </c>
      <c r="D13" t="s">
        <v>972</v>
      </c>
      <c r="E13" s="3">
        <v>14</v>
      </c>
      <c r="F13" s="8">
        <v>0.3</v>
      </c>
      <c r="G13" s="6">
        <f t="shared" si="0"/>
        <v>20</v>
      </c>
      <c r="H13" s="3">
        <f t="shared" si="1"/>
        <v>6</v>
      </c>
    </row>
    <row r="14" spans="1:9" x14ac:dyDescent="0.3">
      <c r="B14" t="s">
        <v>973</v>
      </c>
      <c r="C14">
        <v>43</v>
      </c>
      <c r="D14" t="s">
        <v>974</v>
      </c>
      <c r="E14" s="3">
        <v>16</v>
      </c>
      <c r="F14" s="8">
        <v>0.3</v>
      </c>
      <c r="G14" s="6">
        <f t="shared" si="0"/>
        <v>22.857142857142858</v>
      </c>
      <c r="H14" s="3">
        <f t="shared" si="1"/>
        <v>6.8571428571428577</v>
      </c>
    </row>
    <row r="15" spans="1:9" x14ac:dyDescent="0.3">
      <c r="B15" s="2" t="s">
        <v>975</v>
      </c>
      <c r="C15">
        <v>42</v>
      </c>
      <c r="D15" t="s">
        <v>1477</v>
      </c>
      <c r="E15" s="6">
        <v>12</v>
      </c>
      <c r="F15" s="8">
        <v>0.5</v>
      </c>
      <c r="G15" s="6">
        <f t="shared" si="0"/>
        <v>24</v>
      </c>
      <c r="H15" s="3">
        <f t="shared" si="1"/>
        <v>12</v>
      </c>
    </row>
    <row r="16" spans="1:9" x14ac:dyDescent="0.3">
      <c r="B16" t="s">
        <v>977</v>
      </c>
      <c r="C16">
        <v>59</v>
      </c>
      <c r="D16" t="s">
        <v>978</v>
      </c>
      <c r="E16" s="3">
        <v>33</v>
      </c>
      <c r="F16" s="8">
        <v>0.3</v>
      </c>
      <c r="G16" s="6">
        <f t="shared" si="0"/>
        <v>47.142857142857146</v>
      </c>
      <c r="H16" s="3">
        <f t="shared" si="1"/>
        <v>14.142857142857146</v>
      </c>
    </row>
    <row r="17" spans="2:10" x14ac:dyDescent="0.3">
      <c r="B17" t="s">
        <v>979</v>
      </c>
      <c r="C17">
        <v>56</v>
      </c>
      <c r="D17" t="s">
        <v>980</v>
      </c>
      <c r="E17" s="3">
        <v>23</v>
      </c>
      <c r="F17" s="8">
        <v>0.3</v>
      </c>
      <c r="G17" s="6">
        <f t="shared" si="0"/>
        <v>32.857142857142861</v>
      </c>
      <c r="H17" s="3">
        <f t="shared" si="1"/>
        <v>9.8571428571428612</v>
      </c>
    </row>
    <row r="18" spans="2:10" x14ac:dyDescent="0.3">
      <c r="B18" t="s">
        <v>1015</v>
      </c>
      <c r="C18">
        <v>40</v>
      </c>
      <c r="D18" t="s">
        <v>1016</v>
      </c>
      <c r="E18" s="3">
        <v>35</v>
      </c>
      <c r="F18" s="8">
        <v>0.3</v>
      </c>
      <c r="G18" s="6">
        <f t="shared" si="0"/>
        <v>50</v>
      </c>
      <c r="H18" s="3">
        <f t="shared" si="1"/>
        <v>15</v>
      </c>
    </row>
    <row r="19" spans="2:10" x14ac:dyDescent="0.3">
      <c r="B19" s="2" t="s">
        <v>1283</v>
      </c>
      <c r="D19" t="s">
        <v>1284</v>
      </c>
      <c r="E19" s="6">
        <v>45</v>
      </c>
      <c r="F19" s="8">
        <v>0.3</v>
      </c>
      <c r="G19" s="6">
        <f t="shared" si="0"/>
        <v>64.285714285714292</v>
      </c>
      <c r="H19" s="3">
        <f t="shared" si="1"/>
        <v>19.285714285714292</v>
      </c>
      <c r="J19">
        <v>65</v>
      </c>
    </row>
    <row r="20" spans="2:10" x14ac:dyDescent="0.3">
      <c r="B20" t="s">
        <v>1020</v>
      </c>
      <c r="E20" s="3">
        <v>25</v>
      </c>
      <c r="F20" s="8">
        <v>0.3</v>
      </c>
      <c r="G20" s="6">
        <f t="shared" si="0"/>
        <v>35.714285714285715</v>
      </c>
      <c r="H20" s="3">
        <f t="shared" si="1"/>
        <v>10.714285714285715</v>
      </c>
    </row>
    <row r="21" spans="2:10" x14ac:dyDescent="0.3">
      <c r="B21" s="2" t="s">
        <v>1140</v>
      </c>
      <c r="C21" t="s">
        <v>1438</v>
      </c>
      <c r="D21" t="s">
        <v>1457</v>
      </c>
      <c r="E21" s="6">
        <v>33</v>
      </c>
      <c r="F21" s="8">
        <v>0.3</v>
      </c>
      <c r="G21" s="6">
        <f t="shared" si="0"/>
        <v>47.142857142857146</v>
      </c>
      <c r="H21" s="3">
        <f t="shared" si="1"/>
        <v>14.142857142857146</v>
      </c>
      <c r="J21" s="42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C0C1-A628-4ADE-B709-C6BA2081B9B7}">
  <dimension ref="A1:J85"/>
  <sheetViews>
    <sheetView topLeftCell="A82" workbookViewId="0">
      <selection activeCell="A11" sqref="A11:XFD11"/>
    </sheetView>
  </sheetViews>
  <sheetFormatPr baseColWidth="10" defaultRowHeight="16.5" x14ac:dyDescent="0.3"/>
  <cols>
    <col min="1" max="1" width="24.875" customWidth="1"/>
    <col min="2" max="2" width="18.5" customWidth="1"/>
    <col min="4" max="4" width="46.25" customWidth="1"/>
    <col min="5" max="5" width="11.75" customWidth="1"/>
    <col min="9" max="9" width="23" customWidth="1"/>
  </cols>
  <sheetData>
    <row r="1" spans="1:10" x14ac:dyDescent="0.3">
      <c r="A1" s="1" t="s">
        <v>496</v>
      </c>
      <c r="B1" s="1" t="s">
        <v>499</v>
      </c>
      <c r="C1" s="1" t="s">
        <v>620</v>
      </c>
      <c r="D1" s="1" t="s">
        <v>500</v>
      </c>
      <c r="E1" s="1" t="s">
        <v>501</v>
      </c>
      <c r="F1" s="27">
        <v>0.3</v>
      </c>
      <c r="G1" s="17" t="s">
        <v>640</v>
      </c>
      <c r="H1" s="1" t="s">
        <v>504</v>
      </c>
      <c r="I1" s="1" t="s">
        <v>505</v>
      </c>
      <c r="J1" s="17" t="s">
        <v>506</v>
      </c>
    </row>
    <row r="2" spans="1:10" x14ac:dyDescent="0.3">
      <c r="A2" s="1" t="s">
        <v>1019</v>
      </c>
      <c r="B2" s="1" t="s">
        <v>1017</v>
      </c>
      <c r="C2" s="1"/>
      <c r="D2" s="1"/>
      <c r="E2" s="1"/>
      <c r="F2" s="27">
        <v>0.3</v>
      </c>
      <c r="G2" s="17">
        <f>E2/(1-F2)</f>
        <v>0</v>
      </c>
      <c r="H2" s="1">
        <f>G2-E2</f>
        <v>0</v>
      </c>
      <c r="I2" s="1"/>
      <c r="J2" s="20"/>
    </row>
    <row r="3" spans="1:10" x14ac:dyDescent="0.3">
      <c r="A3" s="1"/>
      <c r="B3" s="17" t="s">
        <v>1476</v>
      </c>
      <c r="C3" s="1"/>
      <c r="D3" s="1"/>
      <c r="E3" s="17">
        <v>50</v>
      </c>
      <c r="F3" s="27">
        <v>0.3</v>
      </c>
      <c r="G3" s="17">
        <f>E3/(1-F3)</f>
        <v>71.428571428571431</v>
      </c>
      <c r="H3" s="1">
        <f>G3-E3</f>
        <v>21.428571428571431</v>
      </c>
      <c r="I3" s="1"/>
      <c r="J3" s="20"/>
    </row>
    <row r="4" spans="1:10" x14ac:dyDescent="0.3">
      <c r="A4" s="1" t="s">
        <v>1019</v>
      </c>
      <c r="B4" s="17" t="s">
        <v>1475</v>
      </c>
      <c r="C4" s="1"/>
      <c r="D4" s="1"/>
      <c r="E4" s="17">
        <v>43</v>
      </c>
      <c r="F4" s="27">
        <v>0.3</v>
      </c>
      <c r="G4" s="20">
        <f>E4/(1-F4)</f>
        <v>61.428571428571431</v>
      </c>
      <c r="H4" s="1">
        <f t="shared" ref="H4:H68" si="0">G4-E4</f>
        <v>18.428571428571431</v>
      </c>
      <c r="I4" s="1"/>
      <c r="J4" s="20"/>
    </row>
    <row r="5" spans="1:10" x14ac:dyDescent="0.3">
      <c r="A5" s="1"/>
      <c r="B5" s="1" t="s">
        <v>1023</v>
      </c>
      <c r="C5" s="1"/>
      <c r="D5" s="1"/>
      <c r="E5" s="1"/>
      <c r="F5" s="27">
        <v>0.3</v>
      </c>
      <c r="G5" s="20">
        <f t="shared" ref="G5:G69" si="1">E5/(1-F5)</f>
        <v>0</v>
      </c>
      <c r="H5" s="1">
        <f t="shared" si="0"/>
        <v>0</v>
      </c>
      <c r="I5" s="1"/>
      <c r="J5" s="20"/>
    </row>
    <row r="6" spans="1:10" x14ac:dyDescent="0.3">
      <c r="A6" s="1"/>
      <c r="B6" s="1" t="s">
        <v>1177</v>
      </c>
      <c r="C6" s="1" t="s">
        <v>1174</v>
      </c>
      <c r="D6" s="1" t="s">
        <v>1178</v>
      </c>
      <c r="E6" s="1">
        <v>40</v>
      </c>
      <c r="F6" s="27">
        <v>0.3</v>
      </c>
      <c r="G6" s="20">
        <f t="shared" si="1"/>
        <v>57.142857142857146</v>
      </c>
      <c r="H6" s="1"/>
      <c r="I6" s="1"/>
      <c r="J6" s="20"/>
    </row>
    <row r="7" spans="1:10" x14ac:dyDescent="0.3">
      <c r="A7" s="1"/>
      <c r="B7" s="1" t="s">
        <v>1033</v>
      </c>
      <c r="C7" s="1"/>
      <c r="D7" s="1"/>
      <c r="E7" s="18"/>
      <c r="F7" s="27">
        <v>0.3</v>
      </c>
      <c r="G7" s="20">
        <f t="shared" si="1"/>
        <v>0</v>
      </c>
      <c r="H7" s="1">
        <f t="shared" si="0"/>
        <v>0</v>
      </c>
      <c r="I7" s="1"/>
      <c r="J7" s="20"/>
    </row>
    <row r="8" spans="1:10" x14ac:dyDescent="0.3">
      <c r="A8" s="1"/>
      <c r="B8" s="1" t="s">
        <v>1034</v>
      </c>
      <c r="C8" s="1">
        <v>9</v>
      </c>
      <c r="D8" s="1" t="s">
        <v>1035</v>
      </c>
      <c r="E8" s="18">
        <v>55.65</v>
      </c>
      <c r="F8" s="27">
        <v>0.3</v>
      </c>
      <c r="G8" s="20">
        <f t="shared" si="1"/>
        <v>79.5</v>
      </c>
      <c r="H8" s="1">
        <f t="shared" si="0"/>
        <v>23.85</v>
      </c>
      <c r="I8" s="1"/>
      <c r="J8" s="20"/>
    </row>
    <row r="9" spans="1:10" x14ac:dyDescent="0.3">
      <c r="A9" s="1"/>
      <c r="B9" s="1" t="s">
        <v>1036</v>
      </c>
      <c r="C9" s="1"/>
      <c r="D9" s="1"/>
      <c r="E9" s="18"/>
      <c r="F9" s="27">
        <v>0.3</v>
      </c>
      <c r="G9" s="20">
        <f t="shared" si="1"/>
        <v>0</v>
      </c>
      <c r="H9" s="1">
        <f t="shared" si="0"/>
        <v>0</v>
      </c>
      <c r="I9" s="1"/>
      <c r="J9" s="20"/>
    </row>
    <row r="10" spans="1:10" x14ac:dyDescent="0.3">
      <c r="A10" s="1"/>
      <c r="B10" s="1" t="s">
        <v>1037</v>
      </c>
      <c r="C10" s="1"/>
      <c r="D10" s="1"/>
      <c r="E10" s="18"/>
      <c r="F10" s="27">
        <v>0.3</v>
      </c>
      <c r="G10" s="20">
        <f t="shared" si="1"/>
        <v>0</v>
      </c>
      <c r="H10" s="1">
        <f t="shared" si="0"/>
        <v>0</v>
      </c>
      <c r="I10" s="1"/>
      <c r="J10" s="20"/>
    </row>
    <row r="11" spans="1:10" x14ac:dyDescent="0.3">
      <c r="A11" s="1"/>
      <c r="B11" s="1" t="s">
        <v>1038</v>
      </c>
      <c r="C11" s="1"/>
      <c r="D11" s="1"/>
      <c r="E11" s="18"/>
      <c r="F11" s="27">
        <v>0.3</v>
      </c>
      <c r="G11" s="20">
        <f t="shared" si="1"/>
        <v>0</v>
      </c>
      <c r="H11" s="1">
        <f t="shared" si="0"/>
        <v>0</v>
      </c>
      <c r="I11" s="1"/>
      <c r="J11" s="20"/>
    </row>
    <row r="12" spans="1:10" x14ac:dyDescent="0.3">
      <c r="A12" s="1"/>
      <c r="B12" s="1" t="s">
        <v>1039</v>
      </c>
      <c r="C12" s="1">
        <v>9</v>
      </c>
      <c r="D12" s="1" t="s">
        <v>1241</v>
      </c>
      <c r="E12" s="18" t="s">
        <v>1363</v>
      </c>
      <c r="F12" s="27">
        <v>0.3</v>
      </c>
      <c r="G12" s="20">
        <v>75</v>
      </c>
      <c r="H12" s="1" t="e">
        <f t="shared" si="0"/>
        <v>#VALUE!</v>
      </c>
      <c r="I12" s="1"/>
      <c r="J12" s="20"/>
    </row>
    <row r="13" spans="1:10" x14ac:dyDescent="0.3">
      <c r="A13" s="1"/>
      <c r="B13" s="1" t="s">
        <v>1040</v>
      </c>
      <c r="C13" s="1"/>
      <c r="D13" s="1"/>
      <c r="E13" s="18"/>
      <c r="F13" s="27">
        <v>0.3</v>
      </c>
      <c r="G13" s="20">
        <f t="shared" si="1"/>
        <v>0</v>
      </c>
      <c r="H13" s="1">
        <f t="shared" si="0"/>
        <v>0</v>
      </c>
      <c r="I13" s="1"/>
      <c r="J13" s="20"/>
    </row>
    <row r="14" spans="1:10" x14ac:dyDescent="0.3">
      <c r="A14" s="1">
        <v>5</v>
      </c>
      <c r="B14" s="1" t="s">
        <v>1041</v>
      </c>
      <c r="C14" s="1" t="s">
        <v>1174</v>
      </c>
      <c r="D14" s="1" t="s">
        <v>1448</v>
      </c>
      <c r="E14" s="18">
        <v>35</v>
      </c>
      <c r="F14" s="27">
        <v>0.3</v>
      </c>
      <c r="G14" s="20">
        <f t="shared" si="1"/>
        <v>50</v>
      </c>
      <c r="H14" s="1">
        <f t="shared" si="0"/>
        <v>15</v>
      </c>
      <c r="I14" s="1"/>
      <c r="J14" s="20"/>
    </row>
    <row r="15" spans="1:10" x14ac:dyDescent="0.3">
      <c r="A15" s="1"/>
      <c r="B15" s="1" t="s">
        <v>1042</v>
      </c>
      <c r="C15" s="1"/>
      <c r="D15" s="1"/>
      <c r="E15" s="18">
        <v>51.1</v>
      </c>
      <c r="F15" s="27">
        <v>0.3</v>
      </c>
      <c r="G15" s="20">
        <f t="shared" si="1"/>
        <v>73</v>
      </c>
      <c r="H15" s="1">
        <f t="shared" si="0"/>
        <v>21.9</v>
      </c>
      <c r="I15" s="1"/>
      <c r="J15" s="20"/>
    </row>
    <row r="16" spans="1:10" x14ac:dyDescent="0.3">
      <c r="A16" s="1"/>
      <c r="B16" s="1" t="s">
        <v>1043</v>
      </c>
      <c r="C16" s="1"/>
      <c r="D16" s="1"/>
      <c r="E16" s="18">
        <v>42</v>
      </c>
      <c r="F16" s="27">
        <v>0.3</v>
      </c>
      <c r="G16" s="20">
        <f t="shared" si="1"/>
        <v>60.000000000000007</v>
      </c>
      <c r="H16" s="1">
        <f t="shared" si="0"/>
        <v>18.000000000000007</v>
      </c>
      <c r="I16" s="1" t="s">
        <v>849</v>
      </c>
      <c r="J16" s="20"/>
    </row>
    <row r="17" spans="1:10" x14ac:dyDescent="0.3">
      <c r="A17" s="1">
        <v>1</v>
      </c>
      <c r="B17" s="1" t="s">
        <v>1044</v>
      </c>
      <c r="C17" s="1" t="s">
        <v>1163</v>
      </c>
      <c r="D17" s="1" t="s">
        <v>1045</v>
      </c>
      <c r="E17" s="18">
        <v>43</v>
      </c>
      <c r="F17" s="27">
        <v>0.3</v>
      </c>
      <c r="G17" s="20">
        <f t="shared" si="1"/>
        <v>61.428571428571431</v>
      </c>
      <c r="H17" s="1">
        <f t="shared" si="0"/>
        <v>18.428571428571431</v>
      </c>
      <c r="I17" s="1"/>
      <c r="J17" s="20"/>
    </row>
    <row r="18" spans="1:10" x14ac:dyDescent="0.3">
      <c r="A18" s="1"/>
      <c r="B18" s="1" t="s">
        <v>1046</v>
      </c>
      <c r="C18" s="1"/>
      <c r="D18" s="1"/>
      <c r="E18" s="18"/>
      <c r="F18" s="27">
        <v>0.3</v>
      </c>
      <c r="G18" s="20">
        <f t="shared" si="1"/>
        <v>0</v>
      </c>
      <c r="H18" s="1">
        <f t="shared" si="0"/>
        <v>0</v>
      </c>
      <c r="I18" s="1"/>
      <c r="J18" s="20"/>
    </row>
    <row r="19" spans="1:10" x14ac:dyDescent="0.3">
      <c r="A19" s="1"/>
      <c r="B19" s="1" t="s">
        <v>1452</v>
      </c>
      <c r="C19" s="1"/>
      <c r="D19" s="1"/>
      <c r="E19" s="18">
        <v>43</v>
      </c>
      <c r="F19" s="27">
        <v>0.3</v>
      </c>
      <c r="G19" s="20">
        <f t="shared" si="1"/>
        <v>61.428571428571431</v>
      </c>
      <c r="H19" s="1">
        <f t="shared" si="0"/>
        <v>18.428571428571431</v>
      </c>
      <c r="I19" s="1"/>
      <c r="J19" s="20"/>
    </row>
    <row r="20" spans="1:10" x14ac:dyDescent="0.3">
      <c r="A20" s="1"/>
      <c r="B20" s="1" t="s">
        <v>1047</v>
      </c>
      <c r="C20" s="1"/>
      <c r="D20" s="1"/>
      <c r="E20" s="18">
        <v>88</v>
      </c>
      <c r="F20" s="27">
        <v>0.3</v>
      </c>
      <c r="G20" s="20">
        <f t="shared" si="1"/>
        <v>125.71428571428572</v>
      </c>
      <c r="H20" s="1">
        <f t="shared" si="0"/>
        <v>37.714285714285722</v>
      </c>
      <c r="I20" s="1" t="s">
        <v>1112</v>
      </c>
      <c r="J20" s="20"/>
    </row>
    <row r="21" spans="1:10" x14ac:dyDescent="0.3">
      <c r="A21" s="1"/>
      <c r="B21" s="1" t="s">
        <v>1048</v>
      </c>
      <c r="C21" s="1"/>
      <c r="D21" s="1"/>
      <c r="E21" s="18">
        <v>70.69</v>
      </c>
      <c r="F21" s="27">
        <v>0.3</v>
      </c>
      <c r="G21" s="20">
        <f t="shared" si="1"/>
        <v>100.98571428571429</v>
      </c>
      <c r="H21" s="1">
        <f t="shared" si="0"/>
        <v>30.295714285714297</v>
      </c>
      <c r="I21" s="1"/>
      <c r="J21" s="20"/>
    </row>
    <row r="22" spans="1:10" x14ac:dyDescent="0.3">
      <c r="A22" s="1"/>
      <c r="B22" s="1"/>
      <c r="C22" s="1"/>
      <c r="D22" s="1"/>
      <c r="E22" s="18"/>
      <c r="F22" s="27">
        <v>0.3</v>
      </c>
      <c r="G22" s="20">
        <f t="shared" si="1"/>
        <v>0</v>
      </c>
      <c r="H22" s="1">
        <f t="shared" si="0"/>
        <v>0</v>
      </c>
      <c r="I22" s="1"/>
      <c r="J22" s="20"/>
    </row>
    <row r="23" spans="1:10" x14ac:dyDescent="0.3">
      <c r="A23" s="1"/>
      <c r="B23" s="1" t="s">
        <v>1049</v>
      </c>
      <c r="C23" s="1"/>
      <c r="D23" s="1"/>
      <c r="E23" s="18">
        <v>47.28</v>
      </c>
      <c r="F23" s="27">
        <v>0.3</v>
      </c>
      <c r="G23" s="20">
        <f t="shared" si="1"/>
        <v>67.542857142857144</v>
      </c>
      <c r="H23" s="1">
        <f t="shared" si="0"/>
        <v>20.262857142857143</v>
      </c>
      <c r="I23" s="1"/>
      <c r="J23" s="20"/>
    </row>
    <row r="24" spans="1:10" x14ac:dyDescent="0.3">
      <c r="A24" s="1"/>
      <c r="B24" s="1" t="s">
        <v>1050</v>
      </c>
      <c r="C24" s="1"/>
      <c r="D24" s="1"/>
      <c r="E24" s="18"/>
      <c r="F24" s="27">
        <v>0.3</v>
      </c>
      <c r="G24" s="20">
        <f t="shared" si="1"/>
        <v>0</v>
      </c>
      <c r="H24" s="1">
        <f t="shared" si="0"/>
        <v>0</v>
      </c>
      <c r="I24" s="1"/>
      <c r="J24" s="20"/>
    </row>
    <row r="25" spans="1:10" x14ac:dyDescent="0.3">
      <c r="A25" s="1" t="s">
        <v>1298</v>
      </c>
      <c r="B25" s="1" t="s">
        <v>1297</v>
      </c>
      <c r="C25" s="1">
        <v>8</v>
      </c>
      <c r="D25" s="1" t="s">
        <v>1051</v>
      </c>
      <c r="E25" s="18"/>
      <c r="F25" s="27">
        <v>0.3</v>
      </c>
      <c r="G25" s="20">
        <v>75</v>
      </c>
      <c r="H25" s="1">
        <f t="shared" si="0"/>
        <v>75</v>
      </c>
      <c r="I25" s="1"/>
      <c r="J25" s="20"/>
    </row>
    <row r="26" spans="1:10" x14ac:dyDescent="0.3">
      <c r="A26" s="1"/>
      <c r="B26" s="1" t="s">
        <v>1052</v>
      </c>
      <c r="C26" s="1"/>
      <c r="D26" s="1"/>
      <c r="E26" s="18">
        <v>58</v>
      </c>
      <c r="F26" s="27">
        <v>0.3</v>
      </c>
      <c r="G26" s="20">
        <f t="shared" si="1"/>
        <v>82.857142857142861</v>
      </c>
      <c r="H26" s="1">
        <f t="shared" si="0"/>
        <v>24.857142857142861</v>
      </c>
      <c r="I26" s="1" t="s">
        <v>849</v>
      </c>
      <c r="J26" s="20"/>
    </row>
    <row r="27" spans="1:10" x14ac:dyDescent="0.3">
      <c r="A27" s="1"/>
      <c r="B27" s="1" t="s">
        <v>1053</v>
      </c>
      <c r="C27" s="1"/>
      <c r="D27" s="1"/>
      <c r="E27" s="18"/>
      <c r="F27" s="27">
        <v>0.3</v>
      </c>
      <c r="G27" s="20">
        <f t="shared" si="1"/>
        <v>0</v>
      </c>
      <c r="H27" s="1">
        <f t="shared" si="0"/>
        <v>0</v>
      </c>
      <c r="I27" s="1"/>
      <c r="J27" s="20"/>
    </row>
    <row r="28" spans="1:10" x14ac:dyDescent="0.3">
      <c r="A28" s="1"/>
      <c r="B28" s="1" t="s">
        <v>1054</v>
      </c>
      <c r="C28" s="1"/>
      <c r="D28" s="1"/>
      <c r="E28" s="18"/>
      <c r="F28" s="27">
        <v>0.3</v>
      </c>
      <c r="G28" s="20">
        <f t="shared" si="1"/>
        <v>0</v>
      </c>
      <c r="H28" s="1">
        <f t="shared" si="0"/>
        <v>0</v>
      </c>
      <c r="I28" s="1"/>
      <c r="J28" s="20"/>
    </row>
    <row r="29" spans="1:10" x14ac:dyDescent="0.3">
      <c r="A29" s="1"/>
      <c r="B29" s="1" t="s">
        <v>1055</v>
      </c>
      <c r="C29" s="1"/>
      <c r="D29" s="1"/>
      <c r="E29" s="18">
        <v>55</v>
      </c>
      <c r="F29" s="27">
        <v>0.3</v>
      </c>
      <c r="G29" s="20">
        <f t="shared" si="1"/>
        <v>78.571428571428569</v>
      </c>
      <c r="H29" s="1">
        <f t="shared" si="0"/>
        <v>23.571428571428569</v>
      </c>
      <c r="I29" s="1" t="s">
        <v>849</v>
      </c>
      <c r="J29" s="20"/>
    </row>
    <row r="30" spans="1:10" x14ac:dyDescent="0.3">
      <c r="A30" s="1"/>
      <c r="B30" s="1"/>
      <c r="C30" s="1">
        <v>8</v>
      </c>
      <c r="D30" s="1" t="s">
        <v>1056</v>
      </c>
      <c r="E30" s="18">
        <v>45</v>
      </c>
      <c r="F30" s="27">
        <v>0.3</v>
      </c>
      <c r="G30" s="20">
        <f t="shared" si="1"/>
        <v>64.285714285714292</v>
      </c>
      <c r="H30" s="1">
        <f t="shared" si="0"/>
        <v>19.285714285714292</v>
      </c>
      <c r="I30" s="1" t="s">
        <v>849</v>
      </c>
      <c r="J30" s="20"/>
    </row>
    <row r="31" spans="1:10" x14ac:dyDescent="0.3">
      <c r="A31" s="1"/>
      <c r="B31" s="1" t="s">
        <v>1057</v>
      </c>
      <c r="C31" s="1"/>
      <c r="D31" s="1"/>
      <c r="E31" s="18"/>
      <c r="F31" s="27">
        <v>0.3</v>
      </c>
      <c r="G31" s="20">
        <f t="shared" si="1"/>
        <v>0</v>
      </c>
      <c r="H31" s="1">
        <f t="shared" si="0"/>
        <v>0</v>
      </c>
      <c r="I31" s="1"/>
      <c r="J31" s="20"/>
    </row>
    <row r="32" spans="1:10" x14ac:dyDescent="0.3">
      <c r="A32" s="1"/>
      <c r="B32" s="1" t="s">
        <v>1058</v>
      </c>
      <c r="C32" s="1"/>
      <c r="D32" s="1" t="s">
        <v>1059</v>
      </c>
      <c r="E32" s="18">
        <v>55</v>
      </c>
      <c r="F32" s="27">
        <v>0.3</v>
      </c>
      <c r="G32" s="20">
        <f t="shared" si="1"/>
        <v>78.571428571428569</v>
      </c>
      <c r="H32" s="1">
        <f t="shared" si="0"/>
        <v>23.571428571428569</v>
      </c>
      <c r="I32" s="1" t="s">
        <v>849</v>
      </c>
      <c r="J32" s="20"/>
    </row>
    <row r="33" spans="1:10" x14ac:dyDescent="0.3">
      <c r="A33" s="1"/>
      <c r="B33" s="1" t="s">
        <v>1060</v>
      </c>
      <c r="C33" s="1"/>
      <c r="D33" s="1"/>
      <c r="E33" s="18">
        <v>37</v>
      </c>
      <c r="F33" s="27">
        <v>0.3</v>
      </c>
      <c r="G33" s="20">
        <f t="shared" si="1"/>
        <v>52.857142857142861</v>
      </c>
      <c r="H33" s="1">
        <f t="shared" si="0"/>
        <v>15.857142857142861</v>
      </c>
      <c r="I33" s="1" t="s">
        <v>849</v>
      </c>
      <c r="J33" s="20"/>
    </row>
    <row r="34" spans="1:10" x14ac:dyDescent="0.3">
      <c r="A34" s="1"/>
      <c r="B34" s="1"/>
      <c r="C34" s="1"/>
      <c r="D34" s="1"/>
      <c r="E34" s="18"/>
      <c r="F34" s="27">
        <v>0.3</v>
      </c>
      <c r="G34" s="20">
        <f t="shared" si="1"/>
        <v>0</v>
      </c>
      <c r="H34" s="1">
        <f t="shared" si="0"/>
        <v>0</v>
      </c>
      <c r="I34" s="1"/>
      <c r="J34" s="20"/>
    </row>
    <row r="35" spans="1:10" x14ac:dyDescent="0.3">
      <c r="A35" s="1"/>
      <c r="B35" s="1" t="s">
        <v>1061</v>
      </c>
      <c r="C35" s="1">
        <v>10</v>
      </c>
      <c r="D35" s="1" t="s">
        <v>1062</v>
      </c>
      <c r="E35" s="18">
        <v>23</v>
      </c>
      <c r="F35" s="27">
        <v>0.3</v>
      </c>
      <c r="G35" s="20">
        <f t="shared" si="1"/>
        <v>32.857142857142861</v>
      </c>
      <c r="H35" s="1">
        <f t="shared" si="0"/>
        <v>9.8571428571428612</v>
      </c>
      <c r="I35" s="1" t="s">
        <v>849</v>
      </c>
      <c r="J35" s="20"/>
    </row>
    <row r="36" spans="1:10" x14ac:dyDescent="0.3">
      <c r="A36" s="1"/>
      <c r="B36" s="1" t="s">
        <v>1063</v>
      </c>
      <c r="C36" s="1">
        <v>11</v>
      </c>
      <c r="D36" s="1" t="s">
        <v>1064</v>
      </c>
      <c r="E36" s="18"/>
      <c r="F36" s="27">
        <v>0.3</v>
      </c>
      <c r="G36" s="20">
        <f t="shared" si="1"/>
        <v>0</v>
      </c>
      <c r="H36" s="1">
        <f t="shared" si="0"/>
        <v>0</v>
      </c>
      <c r="I36" s="1"/>
      <c r="J36" s="20"/>
    </row>
    <row r="37" spans="1:10" x14ac:dyDescent="0.3">
      <c r="A37" s="1"/>
      <c r="B37" s="1" t="s">
        <v>1065</v>
      </c>
      <c r="C37" s="1"/>
      <c r="D37" s="1"/>
      <c r="E37" s="18"/>
      <c r="F37" s="27">
        <v>0.3</v>
      </c>
      <c r="G37" s="20">
        <f t="shared" si="1"/>
        <v>0</v>
      </c>
      <c r="H37" s="1">
        <f t="shared" si="0"/>
        <v>0</v>
      </c>
      <c r="I37" s="1"/>
      <c r="J37" s="20"/>
    </row>
    <row r="38" spans="1:10" x14ac:dyDescent="0.3">
      <c r="A38" s="1"/>
      <c r="B38" s="1" t="s">
        <v>1066</v>
      </c>
      <c r="C38" s="1"/>
      <c r="D38" s="1"/>
      <c r="E38" s="18">
        <v>20</v>
      </c>
      <c r="F38" s="27">
        <v>0.3</v>
      </c>
      <c r="G38" s="20">
        <f t="shared" si="1"/>
        <v>28.571428571428573</v>
      </c>
      <c r="H38" s="1">
        <f t="shared" si="0"/>
        <v>8.571428571428573</v>
      </c>
      <c r="I38" s="1" t="s">
        <v>849</v>
      </c>
      <c r="J38" s="20"/>
    </row>
    <row r="39" spans="1:10" x14ac:dyDescent="0.3">
      <c r="A39" s="1"/>
      <c r="B39" s="1" t="s">
        <v>1067</v>
      </c>
      <c r="C39" s="1"/>
      <c r="D39" s="1" t="s">
        <v>1068</v>
      </c>
      <c r="E39" s="18"/>
      <c r="F39" s="27">
        <v>0.3</v>
      </c>
      <c r="G39" s="20">
        <f t="shared" si="1"/>
        <v>0</v>
      </c>
      <c r="H39" s="1">
        <f t="shared" si="0"/>
        <v>0</v>
      </c>
      <c r="I39" s="1"/>
      <c r="J39" s="20"/>
    </row>
    <row r="40" spans="1:10" x14ac:dyDescent="0.3">
      <c r="A40" s="1"/>
      <c r="B40" s="1" t="s">
        <v>1069</v>
      </c>
      <c r="C40" s="1"/>
      <c r="D40" s="1" t="s">
        <v>1070</v>
      </c>
      <c r="E40" s="18">
        <v>19</v>
      </c>
      <c r="F40" s="27">
        <v>0.3</v>
      </c>
      <c r="G40" s="20">
        <f t="shared" si="1"/>
        <v>27.142857142857146</v>
      </c>
      <c r="H40" s="1">
        <f t="shared" si="0"/>
        <v>8.1428571428571459</v>
      </c>
      <c r="I40" s="1" t="s">
        <v>849</v>
      </c>
      <c r="J40" s="20"/>
    </row>
    <row r="41" spans="1:10" x14ac:dyDescent="0.3">
      <c r="A41" s="1"/>
      <c r="B41" s="1" t="s">
        <v>1071</v>
      </c>
      <c r="C41" s="1"/>
      <c r="D41" s="1"/>
      <c r="E41" s="18"/>
      <c r="F41" s="27">
        <v>0.3</v>
      </c>
      <c r="G41" s="20">
        <f t="shared" si="1"/>
        <v>0</v>
      </c>
      <c r="H41" s="1">
        <f t="shared" si="0"/>
        <v>0</v>
      </c>
      <c r="I41" s="1"/>
      <c r="J41" s="20"/>
    </row>
    <row r="42" spans="1:10" x14ac:dyDescent="0.3">
      <c r="A42" s="1"/>
      <c r="B42" s="1" t="s">
        <v>1072</v>
      </c>
      <c r="C42" s="1"/>
      <c r="D42" s="1"/>
      <c r="E42" s="18">
        <v>18</v>
      </c>
      <c r="F42" s="27">
        <v>0.3</v>
      </c>
      <c r="G42" s="20">
        <f t="shared" si="1"/>
        <v>25.714285714285715</v>
      </c>
      <c r="H42" s="1">
        <f t="shared" si="0"/>
        <v>7.7142857142857153</v>
      </c>
      <c r="I42" s="1" t="s">
        <v>849</v>
      </c>
      <c r="J42" s="20">
        <v>35</v>
      </c>
    </row>
    <row r="43" spans="1:10" x14ac:dyDescent="0.3">
      <c r="A43" s="1"/>
      <c r="B43" s="1" t="s">
        <v>1073</v>
      </c>
      <c r="C43" s="1">
        <v>10</v>
      </c>
      <c r="D43" s="1" t="s">
        <v>1074</v>
      </c>
      <c r="E43" s="18">
        <v>53</v>
      </c>
      <c r="F43" s="27">
        <v>0.3</v>
      </c>
      <c r="G43" s="20">
        <f t="shared" si="1"/>
        <v>75.714285714285722</v>
      </c>
      <c r="H43" s="1">
        <f t="shared" si="0"/>
        <v>22.714285714285722</v>
      </c>
      <c r="I43" s="1"/>
      <c r="J43" s="20"/>
    </row>
    <row r="44" spans="1:10" x14ac:dyDescent="0.3">
      <c r="A44" s="1"/>
      <c r="B44" s="1" t="s">
        <v>1075</v>
      </c>
      <c r="C44" s="1">
        <v>10</v>
      </c>
      <c r="D44" s="1"/>
      <c r="E44" s="18">
        <v>22</v>
      </c>
      <c r="F44" s="27">
        <v>0.3</v>
      </c>
      <c r="G44" s="20">
        <f t="shared" si="1"/>
        <v>31.428571428571431</v>
      </c>
      <c r="H44" s="1">
        <f t="shared" si="0"/>
        <v>9.4285714285714306</v>
      </c>
      <c r="I44" s="1" t="s">
        <v>849</v>
      </c>
      <c r="J44" s="20"/>
    </row>
    <row r="45" spans="1:10" x14ac:dyDescent="0.3">
      <c r="A45" s="1"/>
      <c r="B45" s="1" t="s">
        <v>1076</v>
      </c>
      <c r="C45" s="1"/>
      <c r="D45" s="1"/>
      <c r="E45" s="18"/>
      <c r="F45" s="27">
        <v>0.3</v>
      </c>
      <c r="G45" s="20">
        <f t="shared" si="1"/>
        <v>0</v>
      </c>
      <c r="H45" s="1">
        <f t="shared" si="0"/>
        <v>0</v>
      </c>
      <c r="I45" s="1"/>
      <c r="J45" s="20"/>
    </row>
    <row r="46" spans="1:10" x14ac:dyDescent="0.3">
      <c r="A46" s="1"/>
      <c r="B46" s="1" t="s">
        <v>1077</v>
      </c>
      <c r="C46" s="1">
        <v>11</v>
      </c>
      <c r="D46" s="1" t="s">
        <v>609</v>
      </c>
      <c r="E46" s="18">
        <v>22</v>
      </c>
      <c r="F46" s="27">
        <v>0.3</v>
      </c>
      <c r="G46" s="20">
        <f t="shared" si="1"/>
        <v>31.428571428571431</v>
      </c>
      <c r="H46" s="1">
        <f t="shared" si="0"/>
        <v>9.4285714285714306</v>
      </c>
      <c r="I46" s="1" t="s">
        <v>849</v>
      </c>
      <c r="J46" s="20"/>
    </row>
    <row r="47" spans="1:10" x14ac:dyDescent="0.3">
      <c r="A47" s="1"/>
      <c r="B47" s="1" t="s">
        <v>1078</v>
      </c>
      <c r="C47" s="1"/>
      <c r="D47" s="1"/>
      <c r="E47" s="18"/>
      <c r="F47" s="27">
        <v>0.3</v>
      </c>
      <c r="G47" s="20">
        <f t="shared" si="1"/>
        <v>0</v>
      </c>
      <c r="H47" s="1">
        <f t="shared" si="0"/>
        <v>0</v>
      </c>
      <c r="I47" s="1"/>
      <c r="J47" s="20"/>
    </row>
    <row r="48" spans="1:10" x14ac:dyDescent="0.3">
      <c r="A48" s="1"/>
      <c r="B48" s="1" t="s">
        <v>1079</v>
      </c>
      <c r="C48" s="1"/>
      <c r="D48" s="1" t="s">
        <v>652</v>
      </c>
      <c r="E48" s="18">
        <v>18</v>
      </c>
      <c r="F48" s="27">
        <v>0.3</v>
      </c>
      <c r="G48" s="20">
        <f t="shared" si="1"/>
        <v>25.714285714285715</v>
      </c>
      <c r="H48" s="1">
        <f t="shared" si="0"/>
        <v>7.7142857142857153</v>
      </c>
      <c r="I48" s="1" t="s">
        <v>1111</v>
      </c>
      <c r="J48" s="20"/>
    </row>
    <row r="49" spans="1:10" x14ac:dyDescent="0.3">
      <c r="A49" s="1"/>
      <c r="B49" s="1" t="s">
        <v>1080</v>
      </c>
      <c r="C49" s="1"/>
      <c r="D49" s="1" t="s">
        <v>1081</v>
      </c>
      <c r="E49" s="18">
        <v>63</v>
      </c>
      <c r="F49" s="27">
        <v>0.3</v>
      </c>
      <c r="G49" s="20">
        <f t="shared" si="1"/>
        <v>90</v>
      </c>
      <c r="H49" s="1">
        <f t="shared" si="0"/>
        <v>27</v>
      </c>
      <c r="I49" s="1" t="s">
        <v>1111</v>
      </c>
      <c r="J49" s="20"/>
    </row>
    <row r="50" spans="1:10" x14ac:dyDescent="0.3">
      <c r="A50" s="1"/>
      <c r="B50" s="1" t="s">
        <v>1082</v>
      </c>
      <c r="C50" s="1"/>
      <c r="D50" s="1" t="s">
        <v>795</v>
      </c>
      <c r="E50" s="18"/>
      <c r="F50" s="27">
        <v>0.3</v>
      </c>
      <c r="G50" s="20">
        <f t="shared" si="1"/>
        <v>0</v>
      </c>
      <c r="H50" s="1">
        <f t="shared" si="0"/>
        <v>0</v>
      </c>
      <c r="I50" s="1"/>
      <c r="J50" s="20"/>
    </row>
    <row r="51" spans="1:10" x14ac:dyDescent="0.3">
      <c r="A51" s="1"/>
      <c r="B51" s="1" t="s">
        <v>1083</v>
      </c>
      <c r="C51" s="1"/>
      <c r="D51" s="1" t="s">
        <v>706</v>
      </c>
      <c r="E51" s="18"/>
      <c r="F51" s="27">
        <v>0.3</v>
      </c>
      <c r="G51" s="20">
        <f t="shared" si="1"/>
        <v>0</v>
      </c>
      <c r="H51" s="1">
        <f t="shared" si="0"/>
        <v>0</v>
      </c>
      <c r="I51" s="1"/>
      <c r="J51" s="20"/>
    </row>
    <row r="52" spans="1:10" x14ac:dyDescent="0.3">
      <c r="A52" s="1"/>
      <c r="B52" s="1" t="s">
        <v>1084</v>
      </c>
      <c r="C52" s="1"/>
      <c r="D52" s="1"/>
      <c r="E52" s="18"/>
      <c r="F52" s="27">
        <v>0.3</v>
      </c>
      <c r="G52" s="20">
        <f t="shared" si="1"/>
        <v>0</v>
      </c>
      <c r="H52" s="1">
        <f t="shared" si="0"/>
        <v>0</v>
      </c>
      <c r="I52" s="1"/>
      <c r="J52" s="20"/>
    </row>
    <row r="53" spans="1:10" x14ac:dyDescent="0.3">
      <c r="A53" s="1"/>
      <c r="B53" s="1" t="s">
        <v>1085</v>
      </c>
      <c r="C53" s="1"/>
      <c r="D53" s="1"/>
      <c r="E53" s="18"/>
      <c r="F53" s="27">
        <v>0.3</v>
      </c>
      <c r="G53" s="20">
        <f t="shared" si="1"/>
        <v>0</v>
      </c>
      <c r="H53" s="1">
        <f t="shared" si="0"/>
        <v>0</v>
      </c>
      <c r="I53" s="1"/>
      <c r="J53" s="20"/>
    </row>
    <row r="54" spans="1:10" x14ac:dyDescent="0.3">
      <c r="A54" s="1"/>
      <c r="B54" s="1" t="s">
        <v>1434</v>
      </c>
      <c r="C54" s="1" t="s">
        <v>1163</v>
      </c>
      <c r="D54" s="1" t="s">
        <v>1433</v>
      </c>
      <c r="E54" s="18">
        <v>45</v>
      </c>
      <c r="F54" s="27">
        <v>0.3</v>
      </c>
      <c r="G54" s="20">
        <f t="shared" si="1"/>
        <v>64.285714285714292</v>
      </c>
      <c r="H54" s="1">
        <f t="shared" si="0"/>
        <v>19.285714285714292</v>
      </c>
      <c r="I54" s="1" t="s">
        <v>849</v>
      </c>
      <c r="J54" s="20"/>
    </row>
    <row r="55" spans="1:10" x14ac:dyDescent="0.3">
      <c r="A55" s="1"/>
      <c r="B55" s="1"/>
      <c r="C55" s="1">
        <v>8</v>
      </c>
      <c r="D55" s="1" t="s">
        <v>1086</v>
      </c>
      <c r="E55" s="18">
        <v>45</v>
      </c>
      <c r="F55" s="27">
        <v>0.3</v>
      </c>
      <c r="G55" s="20">
        <f t="shared" si="1"/>
        <v>64.285714285714292</v>
      </c>
      <c r="H55" s="1">
        <f t="shared" si="0"/>
        <v>19.285714285714292</v>
      </c>
      <c r="I55" s="1" t="s">
        <v>849</v>
      </c>
      <c r="J55" s="20"/>
    </row>
    <row r="56" spans="1:10" x14ac:dyDescent="0.3">
      <c r="A56" s="1"/>
      <c r="B56" s="1" t="s">
        <v>1087</v>
      </c>
      <c r="C56" s="1">
        <v>10</v>
      </c>
      <c r="D56" s="1"/>
      <c r="E56" s="18">
        <v>25</v>
      </c>
      <c r="F56" s="27">
        <v>0.3</v>
      </c>
      <c r="G56" s="20">
        <f t="shared" si="1"/>
        <v>35.714285714285715</v>
      </c>
      <c r="H56" s="1">
        <f t="shared" si="0"/>
        <v>10.714285714285715</v>
      </c>
      <c r="I56" s="1" t="s">
        <v>849</v>
      </c>
      <c r="J56" s="20"/>
    </row>
    <row r="57" spans="1:10" x14ac:dyDescent="0.3">
      <c r="A57" s="1"/>
      <c r="B57" s="1" t="s">
        <v>1088</v>
      </c>
      <c r="C57" s="1">
        <v>10</v>
      </c>
      <c r="D57" s="1" t="s">
        <v>1089</v>
      </c>
      <c r="E57" s="18">
        <v>25</v>
      </c>
      <c r="F57" s="27">
        <v>0.3</v>
      </c>
      <c r="G57" s="20">
        <f t="shared" si="1"/>
        <v>35.714285714285715</v>
      </c>
      <c r="H57" s="1">
        <f t="shared" si="0"/>
        <v>10.714285714285715</v>
      </c>
      <c r="I57" s="1" t="s">
        <v>849</v>
      </c>
      <c r="J57" s="20"/>
    </row>
    <row r="58" spans="1:10" x14ac:dyDescent="0.3">
      <c r="A58" s="1"/>
      <c r="B58" s="1" t="s">
        <v>1090</v>
      </c>
      <c r="C58" s="1"/>
      <c r="D58" s="1" t="s">
        <v>1091</v>
      </c>
      <c r="E58" s="18">
        <v>23</v>
      </c>
      <c r="F58" s="27">
        <v>0.3</v>
      </c>
      <c r="G58" s="20">
        <f t="shared" si="1"/>
        <v>32.857142857142861</v>
      </c>
      <c r="H58" s="1">
        <f t="shared" si="0"/>
        <v>9.8571428571428612</v>
      </c>
      <c r="I58" s="1" t="s">
        <v>849</v>
      </c>
      <c r="J58" s="20"/>
    </row>
    <row r="59" spans="1:10" x14ac:dyDescent="0.3">
      <c r="A59" s="1"/>
      <c r="B59" s="1" t="s">
        <v>1092</v>
      </c>
      <c r="C59" s="1"/>
      <c r="D59" s="1"/>
      <c r="E59" s="18">
        <v>27</v>
      </c>
      <c r="F59" s="27">
        <v>0.3</v>
      </c>
      <c r="G59" s="20">
        <f t="shared" si="1"/>
        <v>38.571428571428577</v>
      </c>
      <c r="H59" s="1">
        <f t="shared" si="0"/>
        <v>11.571428571428577</v>
      </c>
      <c r="I59" s="1" t="s">
        <v>849</v>
      </c>
      <c r="J59" s="20"/>
    </row>
    <row r="60" spans="1:10" x14ac:dyDescent="0.3">
      <c r="A60" s="1"/>
      <c r="B60" s="1" t="s">
        <v>1093</v>
      </c>
      <c r="C60" s="1">
        <v>9</v>
      </c>
      <c r="D60" s="1" t="s">
        <v>1094</v>
      </c>
      <c r="E60" s="18">
        <v>26</v>
      </c>
      <c r="F60" s="27">
        <v>0.3</v>
      </c>
      <c r="G60" s="20">
        <f t="shared" si="1"/>
        <v>37.142857142857146</v>
      </c>
      <c r="H60" s="1">
        <f t="shared" si="0"/>
        <v>11.142857142857146</v>
      </c>
      <c r="I60" s="1" t="s">
        <v>849</v>
      </c>
      <c r="J60" s="20"/>
    </row>
    <row r="61" spans="1:10" x14ac:dyDescent="0.3">
      <c r="A61" s="1"/>
      <c r="B61" s="1" t="s">
        <v>1077</v>
      </c>
      <c r="C61" s="1"/>
      <c r="D61" s="1"/>
      <c r="E61" s="18"/>
      <c r="F61" s="27">
        <v>0.3</v>
      </c>
      <c r="G61" s="20">
        <f t="shared" si="1"/>
        <v>0</v>
      </c>
      <c r="H61" s="1">
        <f t="shared" si="0"/>
        <v>0</v>
      </c>
      <c r="I61" s="1"/>
      <c r="J61" s="20"/>
    </row>
    <row r="62" spans="1:10" x14ac:dyDescent="0.3">
      <c r="A62" s="1"/>
      <c r="B62" s="1" t="s">
        <v>1095</v>
      </c>
      <c r="C62" s="1"/>
      <c r="D62" s="1"/>
      <c r="E62" s="18">
        <v>37</v>
      </c>
      <c r="F62" s="27">
        <v>0.3</v>
      </c>
      <c r="G62" s="20">
        <f t="shared" si="1"/>
        <v>52.857142857142861</v>
      </c>
      <c r="H62" s="1">
        <f t="shared" si="0"/>
        <v>15.857142857142861</v>
      </c>
      <c r="I62" s="1" t="s">
        <v>849</v>
      </c>
      <c r="J62" s="20"/>
    </row>
    <row r="63" spans="1:10" x14ac:dyDescent="0.3">
      <c r="A63" s="1"/>
      <c r="B63" s="1" t="s">
        <v>1096</v>
      </c>
      <c r="C63" s="1">
        <v>9</v>
      </c>
      <c r="D63" s="1" t="s">
        <v>1097</v>
      </c>
      <c r="E63" s="18">
        <v>45</v>
      </c>
      <c r="F63" s="27">
        <v>0.3</v>
      </c>
      <c r="G63" s="20">
        <f t="shared" si="1"/>
        <v>64.285714285714292</v>
      </c>
      <c r="H63" s="1">
        <f t="shared" si="0"/>
        <v>19.285714285714292</v>
      </c>
      <c r="I63" s="1" t="s">
        <v>849</v>
      </c>
      <c r="J63" s="20"/>
    </row>
    <row r="64" spans="1:10" x14ac:dyDescent="0.3">
      <c r="A64" s="1"/>
      <c r="B64" s="1" t="s">
        <v>1098</v>
      </c>
      <c r="C64" s="1"/>
      <c r="D64" s="1"/>
      <c r="E64" s="18">
        <v>45</v>
      </c>
      <c r="F64" s="27">
        <v>0.3</v>
      </c>
      <c r="G64" s="20">
        <f t="shared" si="1"/>
        <v>64.285714285714292</v>
      </c>
      <c r="H64" s="1">
        <f t="shared" si="0"/>
        <v>19.285714285714292</v>
      </c>
      <c r="I64" s="1" t="s">
        <v>849</v>
      </c>
      <c r="J64" s="20"/>
    </row>
    <row r="65" spans="1:10" x14ac:dyDescent="0.3">
      <c r="A65" s="1"/>
      <c r="B65" s="1" t="s">
        <v>1099</v>
      </c>
      <c r="C65" s="1"/>
      <c r="D65" s="1" t="s">
        <v>1100</v>
      </c>
      <c r="E65" s="18">
        <v>45</v>
      </c>
      <c r="F65" s="27">
        <v>0.3</v>
      </c>
      <c r="G65" s="20">
        <f t="shared" si="1"/>
        <v>64.285714285714292</v>
      </c>
      <c r="H65" s="1">
        <f t="shared" si="0"/>
        <v>19.285714285714292</v>
      </c>
      <c r="I65" s="1" t="s">
        <v>849</v>
      </c>
      <c r="J65" s="20"/>
    </row>
    <row r="66" spans="1:10" x14ac:dyDescent="0.3">
      <c r="A66" s="1"/>
      <c r="B66" s="1" t="s">
        <v>1101</v>
      </c>
      <c r="C66" s="1"/>
      <c r="D66" s="1" t="s">
        <v>1102</v>
      </c>
      <c r="E66" s="18">
        <v>40</v>
      </c>
      <c r="F66" s="27">
        <v>0.3</v>
      </c>
      <c r="G66" s="20">
        <f t="shared" si="1"/>
        <v>57.142857142857146</v>
      </c>
      <c r="H66" s="1">
        <f t="shared" si="0"/>
        <v>17.142857142857146</v>
      </c>
      <c r="I66" s="1" t="s">
        <v>849</v>
      </c>
      <c r="J66" s="20"/>
    </row>
    <row r="67" spans="1:10" x14ac:dyDescent="0.3">
      <c r="A67" s="1"/>
      <c r="B67" s="1" t="s">
        <v>1103</v>
      </c>
      <c r="C67" s="1"/>
      <c r="D67" s="1"/>
      <c r="E67" s="18">
        <v>45</v>
      </c>
      <c r="F67" s="27">
        <v>0.3</v>
      </c>
      <c r="G67" s="20">
        <f t="shared" si="1"/>
        <v>64.285714285714292</v>
      </c>
      <c r="H67" s="1">
        <f t="shared" si="0"/>
        <v>19.285714285714292</v>
      </c>
      <c r="I67" s="1" t="s">
        <v>849</v>
      </c>
      <c r="J67" s="20"/>
    </row>
    <row r="68" spans="1:10" x14ac:dyDescent="0.3">
      <c r="A68" s="1"/>
      <c r="B68" s="1" t="s">
        <v>1104</v>
      </c>
      <c r="C68" s="1"/>
      <c r="D68" s="1"/>
      <c r="E68" s="18">
        <v>50</v>
      </c>
      <c r="F68" s="27">
        <v>0.3</v>
      </c>
      <c r="G68" s="20">
        <f t="shared" si="1"/>
        <v>71.428571428571431</v>
      </c>
      <c r="H68" s="1">
        <f t="shared" si="0"/>
        <v>21.428571428571431</v>
      </c>
      <c r="I68" s="1" t="s">
        <v>849</v>
      </c>
      <c r="J68" s="20"/>
    </row>
    <row r="69" spans="1:10" x14ac:dyDescent="0.3">
      <c r="A69" s="1"/>
      <c r="B69" s="1" t="s">
        <v>1105</v>
      </c>
      <c r="C69" s="1"/>
      <c r="D69" s="1"/>
      <c r="E69" s="18">
        <v>28</v>
      </c>
      <c r="F69" s="27">
        <v>0.3</v>
      </c>
      <c r="G69" s="20">
        <f t="shared" si="1"/>
        <v>40</v>
      </c>
      <c r="H69" s="1">
        <f t="shared" ref="H69:H85" si="2">G69-E69</f>
        <v>12</v>
      </c>
      <c r="I69" s="1" t="s">
        <v>849</v>
      </c>
      <c r="J69" s="20"/>
    </row>
    <row r="70" spans="1:10" x14ac:dyDescent="0.3">
      <c r="A70" s="1"/>
      <c r="B70" s="1" t="s">
        <v>1106</v>
      </c>
      <c r="C70" s="1"/>
      <c r="D70" s="1" t="s">
        <v>1107</v>
      </c>
      <c r="E70" s="18">
        <v>25</v>
      </c>
      <c r="F70" s="27">
        <v>0.3</v>
      </c>
      <c r="G70" s="20">
        <f>E70/(1-F70)</f>
        <v>35.714285714285715</v>
      </c>
      <c r="H70" s="1">
        <f t="shared" si="2"/>
        <v>10.714285714285715</v>
      </c>
      <c r="I70" s="1" t="s">
        <v>849</v>
      </c>
      <c r="J70" s="20"/>
    </row>
    <row r="71" spans="1:10" x14ac:dyDescent="0.3">
      <c r="A71" s="1"/>
      <c r="B71" s="1" t="s">
        <v>1108</v>
      </c>
      <c r="C71" s="1"/>
      <c r="D71" s="1"/>
      <c r="E71" s="18">
        <v>23</v>
      </c>
      <c r="F71" s="27">
        <v>0.3</v>
      </c>
      <c r="G71" s="20">
        <f>E71/(1-F71)</f>
        <v>32.857142857142861</v>
      </c>
      <c r="H71" s="1">
        <f t="shared" si="2"/>
        <v>9.8571428571428612</v>
      </c>
      <c r="I71" s="1" t="s">
        <v>849</v>
      </c>
      <c r="J71" s="20"/>
    </row>
    <row r="72" spans="1:10" x14ac:dyDescent="0.3">
      <c r="A72" s="1"/>
      <c r="B72" s="17" t="s">
        <v>1109</v>
      </c>
      <c r="C72" s="1"/>
      <c r="D72" s="1" t="s">
        <v>795</v>
      </c>
      <c r="E72" s="20">
        <v>53</v>
      </c>
      <c r="F72" s="27">
        <v>0.3</v>
      </c>
      <c r="G72" s="20">
        <f>E72/(1-F72)</f>
        <v>75.714285714285722</v>
      </c>
      <c r="H72" s="1">
        <f t="shared" si="2"/>
        <v>22.714285714285722</v>
      </c>
      <c r="I72" s="1" t="s">
        <v>849</v>
      </c>
      <c r="J72" s="20"/>
    </row>
    <row r="73" spans="1:10" x14ac:dyDescent="0.3">
      <c r="A73" s="1"/>
      <c r="B73" s="1"/>
      <c r="C73" s="1"/>
      <c r="D73" s="1" t="s">
        <v>1110</v>
      </c>
      <c r="E73" s="18">
        <v>65</v>
      </c>
      <c r="F73" s="27">
        <v>0.3</v>
      </c>
      <c r="G73" s="20">
        <f>E73/(1-F73)</f>
        <v>92.857142857142861</v>
      </c>
      <c r="H73" s="1">
        <f t="shared" si="2"/>
        <v>27.857142857142861</v>
      </c>
      <c r="I73" s="1" t="s">
        <v>849</v>
      </c>
      <c r="J73" s="20"/>
    </row>
    <row r="74" spans="1:10" x14ac:dyDescent="0.3">
      <c r="A74" s="1" t="s">
        <v>1019</v>
      </c>
      <c r="B74" s="1" t="s">
        <v>1141</v>
      </c>
      <c r="C74" s="1"/>
      <c r="D74" s="1"/>
      <c r="E74" s="1"/>
      <c r="F74" s="27">
        <v>0.3</v>
      </c>
      <c r="G74" s="20">
        <f t="shared" ref="G74:G85" si="3">E74/(1-F74)</f>
        <v>0</v>
      </c>
      <c r="H74" s="1">
        <f t="shared" si="2"/>
        <v>0</v>
      </c>
      <c r="I74" s="1"/>
      <c r="J74" s="20">
        <v>60</v>
      </c>
    </row>
    <row r="75" spans="1:10" x14ac:dyDescent="0.3">
      <c r="A75" s="1"/>
      <c r="B75" s="1" t="s">
        <v>1155</v>
      </c>
      <c r="C75" s="1"/>
      <c r="D75" s="1" t="s">
        <v>609</v>
      </c>
      <c r="E75" s="1"/>
      <c r="F75" s="27">
        <v>0.3</v>
      </c>
      <c r="G75" s="20">
        <f t="shared" si="3"/>
        <v>0</v>
      </c>
      <c r="H75" s="1">
        <f t="shared" si="2"/>
        <v>0</v>
      </c>
      <c r="I75" s="1"/>
      <c r="J75" s="28">
        <v>75</v>
      </c>
    </row>
    <row r="76" spans="1:10" x14ac:dyDescent="0.3">
      <c r="A76" s="1" t="s">
        <v>1019</v>
      </c>
      <c r="B76" s="1" t="s">
        <v>1195</v>
      </c>
      <c r="C76" s="1" t="s">
        <v>1196</v>
      </c>
      <c r="D76" s="1" t="s">
        <v>1197</v>
      </c>
      <c r="E76" s="1"/>
      <c r="F76" s="27">
        <v>0.3</v>
      </c>
      <c r="G76" s="20">
        <f t="shared" si="3"/>
        <v>0</v>
      </c>
      <c r="H76" s="1">
        <f t="shared" si="2"/>
        <v>0</v>
      </c>
      <c r="I76" s="1"/>
      <c r="J76" s="1"/>
    </row>
    <row r="77" spans="1:10" x14ac:dyDescent="0.3">
      <c r="A77" s="1"/>
      <c r="B77" s="1" t="s">
        <v>1224</v>
      </c>
      <c r="C77" s="1"/>
      <c r="D77" s="1" t="s">
        <v>1225</v>
      </c>
      <c r="E77" s="1"/>
      <c r="F77" s="27">
        <v>0.3</v>
      </c>
      <c r="G77" s="20">
        <f t="shared" si="3"/>
        <v>0</v>
      </c>
      <c r="H77" s="1">
        <f t="shared" si="2"/>
        <v>0</v>
      </c>
      <c r="I77" s="1"/>
      <c r="J77" s="1"/>
    </row>
    <row r="78" spans="1:10" x14ac:dyDescent="0.3">
      <c r="A78" s="1"/>
      <c r="B78" s="1" t="s">
        <v>1229</v>
      </c>
      <c r="C78" s="1"/>
      <c r="D78" s="1" t="s">
        <v>1230</v>
      </c>
      <c r="E78" s="1"/>
      <c r="F78" s="27">
        <v>0.3</v>
      </c>
      <c r="G78" s="20">
        <f t="shared" si="3"/>
        <v>0</v>
      </c>
      <c r="H78" s="1">
        <f t="shared" si="2"/>
        <v>0</v>
      </c>
      <c r="I78" s="1"/>
      <c r="J78" s="1"/>
    </row>
    <row r="79" spans="1:10" x14ac:dyDescent="0.3">
      <c r="A79" s="1"/>
      <c r="B79" s="1" t="s">
        <v>1236</v>
      </c>
      <c r="C79" s="1"/>
      <c r="D79" s="1" t="s">
        <v>1237</v>
      </c>
      <c r="E79" s="28">
        <v>43</v>
      </c>
      <c r="F79" s="27">
        <v>0.3</v>
      </c>
      <c r="G79" s="20">
        <f t="shared" si="3"/>
        <v>61.428571428571431</v>
      </c>
      <c r="H79" s="1">
        <f t="shared" si="2"/>
        <v>18.428571428571431</v>
      </c>
      <c r="I79" s="1"/>
      <c r="J79" s="1"/>
    </row>
    <row r="80" spans="1:10" x14ac:dyDescent="0.3">
      <c r="A80" s="1"/>
      <c r="B80" s="1" t="s">
        <v>1238</v>
      </c>
      <c r="C80" s="1"/>
      <c r="D80" s="29" t="s">
        <v>1239</v>
      </c>
      <c r="E80" s="28">
        <v>55</v>
      </c>
      <c r="F80" s="27">
        <v>0.3</v>
      </c>
      <c r="G80" s="20">
        <f t="shared" si="3"/>
        <v>78.571428571428569</v>
      </c>
      <c r="H80" s="1">
        <f t="shared" si="2"/>
        <v>23.571428571428569</v>
      </c>
      <c r="I80" s="1"/>
      <c r="J80" s="1"/>
    </row>
    <row r="81" spans="1:10" x14ac:dyDescent="0.3">
      <c r="A81" s="1"/>
      <c r="B81" s="1" t="s">
        <v>610</v>
      </c>
      <c r="C81" s="1"/>
      <c r="D81" s="1" t="s">
        <v>1320</v>
      </c>
      <c r="E81" s="1"/>
      <c r="F81" s="27">
        <v>0.3</v>
      </c>
      <c r="G81" s="20">
        <f t="shared" si="3"/>
        <v>0</v>
      </c>
      <c r="H81" s="1">
        <f t="shared" si="2"/>
        <v>0</v>
      </c>
      <c r="I81" s="1" t="s">
        <v>1321</v>
      </c>
      <c r="J81" s="1"/>
    </row>
    <row r="82" spans="1:10" x14ac:dyDescent="0.3">
      <c r="A82" s="1"/>
      <c r="B82" s="1" t="s">
        <v>1378</v>
      </c>
      <c r="C82" s="1"/>
      <c r="D82" s="1" t="s">
        <v>1379</v>
      </c>
      <c r="E82" s="1"/>
      <c r="F82" s="27">
        <v>0.3</v>
      </c>
      <c r="G82" s="20">
        <f t="shared" si="3"/>
        <v>0</v>
      </c>
      <c r="H82" s="1">
        <f t="shared" si="2"/>
        <v>0</v>
      </c>
      <c r="I82" s="1"/>
      <c r="J82" s="1"/>
    </row>
    <row r="83" spans="1:10" x14ac:dyDescent="0.3">
      <c r="A83" s="1"/>
      <c r="B83" s="1" t="s">
        <v>1380</v>
      </c>
      <c r="C83" s="1"/>
      <c r="D83" s="1" t="s">
        <v>1381</v>
      </c>
      <c r="E83" s="1"/>
      <c r="F83" s="27">
        <v>0.3</v>
      </c>
      <c r="G83" s="20">
        <f t="shared" si="3"/>
        <v>0</v>
      </c>
      <c r="H83" s="1">
        <f t="shared" si="2"/>
        <v>0</v>
      </c>
      <c r="I83" s="1"/>
      <c r="J83" s="1"/>
    </row>
    <row r="84" spans="1:10" x14ac:dyDescent="0.3">
      <c r="B84">
        <v>1607</v>
      </c>
      <c r="D84" s="40" t="s">
        <v>1437</v>
      </c>
      <c r="F84" s="27">
        <v>0.3</v>
      </c>
      <c r="G84" s="20">
        <f t="shared" si="3"/>
        <v>0</v>
      </c>
      <c r="H84" s="1">
        <f t="shared" si="2"/>
        <v>0</v>
      </c>
    </row>
    <row r="85" spans="1:10" x14ac:dyDescent="0.3">
      <c r="A85">
        <v>2</v>
      </c>
      <c r="B85" s="2" t="s">
        <v>1446</v>
      </c>
      <c r="C85" t="s">
        <v>1201</v>
      </c>
      <c r="D85" s="40" t="s">
        <v>1447</v>
      </c>
      <c r="E85" s="46">
        <v>47</v>
      </c>
      <c r="F85" s="27">
        <v>0.3</v>
      </c>
      <c r="G85" s="20">
        <f t="shared" si="3"/>
        <v>67.142857142857153</v>
      </c>
      <c r="H85" s="1">
        <f t="shared" si="2"/>
        <v>20.142857142857153</v>
      </c>
      <c r="I85" t="s">
        <v>849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588F-431D-4D8C-B6E5-44004FF9DA42}">
  <dimension ref="A1:L46"/>
  <sheetViews>
    <sheetView workbookViewId="0">
      <selection activeCell="C5" sqref="C5"/>
    </sheetView>
  </sheetViews>
  <sheetFormatPr baseColWidth="10" defaultRowHeight="16.5" x14ac:dyDescent="0.3"/>
  <cols>
    <col min="6" max="6" width="46.25" customWidth="1"/>
    <col min="8" max="9" width="11" customWidth="1"/>
  </cols>
  <sheetData>
    <row r="1" spans="1:10" x14ac:dyDescent="0.3">
      <c r="A1" t="s">
        <v>496</v>
      </c>
      <c r="B1" t="s">
        <v>498</v>
      </c>
      <c r="C1" t="s">
        <v>499</v>
      </c>
      <c r="D1" t="s">
        <v>620</v>
      </c>
      <c r="E1" t="s">
        <v>981</v>
      </c>
      <c r="F1" t="s">
        <v>500</v>
      </c>
      <c r="G1" t="s">
        <v>750</v>
      </c>
      <c r="H1" t="s">
        <v>982</v>
      </c>
      <c r="I1" s="2" t="s">
        <v>503</v>
      </c>
      <c r="J1" t="s">
        <v>504</v>
      </c>
    </row>
    <row r="2" spans="1:10" x14ac:dyDescent="0.3">
      <c r="D2">
        <v>9</v>
      </c>
      <c r="F2" t="s">
        <v>983</v>
      </c>
      <c r="H2" s="4">
        <v>0.3</v>
      </c>
      <c r="I2" s="6">
        <f>G2/(1-H2)</f>
        <v>0</v>
      </c>
      <c r="J2" s="3">
        <f>I2-G2</f>
        <v>0</v>
      </c>
    </row>
    <row r="3" spans="1:10" x14ac:dyDescent="0.3">
      <c r="D3">
        <v>7</v>
      </c>
      <c r="E3" t="s">
        <v>984</v>
      </c>
      <c r="F3" t="s">
        <v>652</v>
      </c>
      <c r="H3" s="4">
        <v>0.3</v>
      </c>
      <c r="I3" s="6">
        <f t="shared" ref="I3:I46" si="0">G3/(1-H3)</f>
        <v>0</v>
      </c>
      <c r="J3" s="3">
        <f t="shared" ref="J3:J46" si="1">I3-G3</f>
        <v>0</v>
      </c>
    </row>
    <row r="4" spans="1:10" x14ac:dyDescent="0.3">
      <c r="D4">
        <v>8</v>
      </c>
      <c r="E4" t="s">
        <v>985</v>
      </c>
      <c r="F4" t="s">
        <v>986</v>
      </c>
      <c r="H4" s="4">
        <v>0.3</v>
      </c>
      <c r="I4" s="6">
        <f t="shared" si="0"/>
        <v>0</v>
      </c>
      <c r="J4" s="3">
        <f t="shared" si="1"/>
        <v>0</v>
      </c>
    </row>
    <row r="5" spans="1:10" x14ac:dyDescent="0.3">
      <c r="D5">
        <v>9</v>
      </c>
      <c r="F5" t="s">
        <v>987</v>
      </c>
      <c r="G5">
        <v>70</v>
      </c>
      <c r="H5" s="4">
        <v>0.3</v>
      </c>
      <c r="I5" s="6">
        <f t="shared" si="0"/>
        <v>100</v>
      </c>
      <c r="J5" s="3">
        <f t="shared" si="1"/>
        <v>30</v>
      </c>
    </row>
    <row r="6" spans="1:10" x14ac:dyDescent="0.3">
      <c r="D6">
        <v>8</v>
      </c>
      <c r="E6" t="s">
        <v>984</v>
      </c>
      <c r="F6" t="s">
        <v>1263</v>
      </c>
      <c r="G6">
        <v>70</v>
      </c>
      <c r="H6" s="4">
        <v>0.3</v>
      </c>
      <c r="I6" s="6">
        <f t="shared" si="0"/>
        <v>100</v>
      </c>
      <c r="J6" s="3">
        <f t="shared" si="1"/>
        <v>30</v>
      </c>
    </row>
    <row r="7" spans="1:10" x14ac:dyDescent="0.3">
      <c r="D7">
        <v>9</v>
      </c>
      <c r="F7" t="s">
        <v>988</v>
      </c>
      <c r="H7" s="4">
        <v>0.3</v>
      </c>
      <c r="I7" s="6">
        <f t="shared" si="0"/>
        <v>0</v>
      </c>
      <c r="J7" s="3">
        <f t="shared" si="1"/>
        <v>0</v>
      </c>
    </row>
    <row r="8" spans="1:10" x14ac:dyDescent="0.3">
      <c r="D8">
        <v>13</v>
      </c>
      <c r="F8" t="s">
        <v>989</v>
      </c>
      <c r="H8" s="4">
        <v>0.3</v>
      </c>
      <c r="I8" s="6">
        <f t="shared" si="0"/>
        <v>0</v>
      </c>
      <c r="J8" s="3">
        <f t="shared" si="1"/>
        <v>0</v>
      </c>
    </row>
    <row r="9" spans="1:10" x14ac:dyDescent="0.3">
      <c r="B9">
        <v>3080</v>
      </c>
      <c r="F9" t="s">
        <v>990</v>
      </c>
      <c r="H9" s="4">
        <v>0.3</v>
      </c>
      <c r="I9" s="6">
        <f t="shared" si="0"/>
        <v>0</v>
      </c>
      <c r="J9" s="3">
        <f t="shared" si="1"/>
        <v>0</v>
      </c>
    </row>
    <row r="10" spans="1:10" x14ac:dyDescent="0.3">
      <c r="D10">
        <v>9</v>
      </c>
      <c r="F10" t="s">
        <v>533</v>
      </c>
      <c r="H10" s="4">
        <v>0.3</v>
      </c>
      <c r="I10" s="6">
        <f t="shared" si="0"/>
        <v>0</v>
      </c>
      <c r="J10" s="3">
        <f t="shared" si="1"/>
        <v>0</v>
      </c>
    </row>
    <row r="11" spans="1:10" x14ac:dyDescent="0.3">
      <c r="E11" t="s">
        <v>991</v>
      </c>
      <c r="F11" t="s">
        <v>992</v>
      </c>
      <c r="H11" s="4">
        <v>0.3</v>
      </c>
      <c r="I11" s="6">
        <f t="shared" si="0"/>
        <v>0</v>
      </c>
      <c r="J11" s="3">
        <f t="shared" si="1"/>
        <v>0</v>
      </c>
    </row>
    <row r="12" spans="1:10" x14ac:dyDescent="0.3">
      <c r="F12" t="s">
        <v>717</v>
      </c>
      <c r="H12" s="4">
        <v>0.3</v>
      </c>
      <c r="I12" s="6">
        <f t="shared" si="0"/>
        <v>0</v>
      </c>
      <c r="J12" s="3">
        <f t="shared" si="1"/>
        <v>0</v>
      </c>
    </row>
    <row r="13" spans="1:10" x14ac:dyDescent="0.3">
      <c r="F13" t="s">
        <v>993</v>
      </c>
      <c r="H13" s="4">
        <v>0.3</v>
      </c>
      <c r="I13" s="6">
        <f t="shared" si="0"/>
        <v>0</v>
      </c>
      <c r="J13" s="3">
        <f t="shared" si="1"/>
        <v>0</v>
      </c>
    </row>
    <row r="14" spans="1:10" x14ac:dyDescent="0.3">
      <c r="F14" t="s">
        <v>994</v>
      </c>
      <c r="H14" s="4">
        <v>0.3</v>
      </c>
      <c r="I14" s="6">
        <f t="shared" si="0"/>
        <v>0</v>
      </c>
      <c r="J14" s="3">
        <f t="shared" si="1"/>
        <v>0</v>
      </c>
    </row>
    <row r="15" spans="1:10" x14ac:dyDescent="0.3">
      <c r="F15" t="s">
        <v>995</v>
      </c>
      <c r="H15" s="4">
        <v>0.3</v>
      </c>
      <c r="I15" s="6">
        <f t="shared" si="0"/>
        <v>0</v>
      </c>
      <c r="J15" s="3">
        <f t="shared" si="1"/>
        <v>0</v>
      </c>
    </row>
    <row r="16" spans="1:10" x14ac:dyDescent="0.3">
      <c r="F16" t="s">
        <v>996</v>
      </c>
      <c r="H16" s="4">
        <v>0.3</v>
      </c>
      <c r="I16" s="6">
        <f t="shared" si="0"/>
        <v>0</v>
      </c>
      <c r="J16" s="3">
        <f t="shared" si="1"/>
        <v>0</v>
      </c>
    </row>
    <row r="17" spans="2:10" x14ac:dyDescent="0.3">
      <c r="F17" t="s">
        <v>997</v>
      </c>
      <c r="H17" s="4">
        <v>0.3</v>
      </c>
      <c r="I17" s="6">
        <f t="shared" si="0"/>
        <v>0</v>
      </c>
      <c r="J17" s="3">
        <f t="shared" si="1"/>
        <v>0</v>
      </c>
    </row>
    <row r="18" spans="2:10" x14ac:dyDescent="0.3">
      <c r="D18">
        <v>10</v>
      </c>
      <c r="F18" t="s">
        <v>998</v>
      </c>
      <c r="H18" s="4">
        <v>0.3</v>
      </c>
      <c r="I18" s="6">
        <f t="shared" si="0"/>
        <v>0</v>
      </c>
      <c r="J18" s="3">
        <f t="shared" si="1"/>
        <v>0</v>
      </c>
    </row>
    <row r="19" spans="2:10" x14ac:dyDescent="0.3">
      <c r="F19" t="s">
        <v>999</v>
      </c>
      <c r="H19" s="4">
        <v>0.3</v>
      </c>
      <c r="I19" s="6">
        <f t="shared" si="0"/>
        <v>0</v>
      </c>
      <c r="J19" s="3">
        <f t="shared" si="1"/>
        <v>0</v>
      </c>
    </row>
    <row r="20" spans="2:10" x14ac:dyDescent="0.3">
      <c r="B20" t="s">
        <v>1226</v>
      </c>
      <c r="C20" t="s">
        <v>1000</v>
      </c>
      <c r="D20">
        <v>8</v>
      </c>
      <c r="F20" t="s">
        <v>1001</v>
      </c>
      <c r="G20" s="25">
        <v>80</v>
      </c>
      <c r="H20" s="4">
        <v>0.3</v>
      </c>
      <c r="I20" s="6">
        <f t="shared" si="0"/>
        <v>114.28571428571429</v>
      </c>
      <c r="J20" s="3">
        <f t="shared" si="1"/>
        <v>34.285714285714292</v>
      </c>
    </row>
    <row r="21" spans="2:10" x14ac:dyDescent="0.3">
      <c r="C21" t="s">
        <v>1158</v>
      </c>
      <c r="D21" t="s">
        <v>1159</v>
      </c>
      <c r="F21" t="s">
        <v>1160</v>
      </c>
      <c r="H21" s="4">
        <v>0.3</v>
      </c>
      <c r="I21" s="6">
        <f t="shared" si="0"/>
        <v>0</v>
      </c>
      <c r="J21" s="3">
        <f t="shared" si="1"/>
        <v>0</v>
      </c>
    </row>
    <row r="22" spans="2:10" x14ac:dyDescent="0.3">
      <c r="G22" s="25">
        <v>90</v>
      </c>
      <c r="H22" s="4">
        <v>0.3</v>
      </c>
      <c r="I22" s="6">
        <f t="shared" si="0"/>
        <v>128.57142857142858</v>
      </c>
      <c r="J22" s="3">
        <f t="shared" si="1"/>
        <v>38.571428571428584</v>
      </c>
    </row>
    <row r="23" spans="2:10" x14ac:dyDescent="0.3">
      <c r="F23" t="s">
        <v>1315</v>
      </c>
      <c r="G23">
        <v>68</v>
      </c>
      <c r="H23" s="4">
        <v>0.3</v>
      </c>
      <c r="I23" s="6">
        <f t="shared" si="0"/>
        <v>97.142857142857153</v>
      </c>
      <c r="J23" s="3">
        <f t="shared" si="1"/>
        <v>29.142857142857153</v>
      </c>
    </row>
    <row r="24" spans="2:10" x14ac:dyDescent="0.3">
      <c r="C24" t="s">
        <v>1326</v>
      </c>
      <c r="F24" t="s">
        <v>1327</v>
      </c>
      <c r="G24" s="25">
        <v>42</v>
      </c>
      <c r="H24" s="4">
        <v>0.3</v>
      </c>
      <c r="I24" s="6">
        <f t="shared" si="0"/>
        <v>60.000000000000007</v>
      </c>
      <c r="J24" s="3">
        <f t="shared" si="1"/>
        <v>18.000000000000007</v>
      </c>
    </row>
    <row r="25" spans="2:10" x14ac:dyDescent="0.3">
      <c r="C25" t="s">
        <v>1219</v>
      </c>
      <c r="F25" t="s">
        <v>1328</v>
      </c>
      <c r="G25" s="25">
        <v>150</v>
      </c>
      <c r="H25" s="4">
        <v>0.3</v>
      </c>
      <c r="I25" s="6">
        <f t="shared" si="0"/>
        <v>214.28571428571431</v>
      </c>
      <c r="J25" s="3">
        <f t="shared" si="1"/>
        <v>64.285714285714306</v>
      </c>
    </row>
    <row r="26" spans="2:10" x14ac:dyDescent="0.3">
      <c r="C26" t="s">
        <v>1383</v>
      </c>
      <c r="F26" t="s">
        <v>1384</v>
      </c>
      <c r="G26" s="25">
        <v>67</v>
      </c>
      <c r="H26" s="4">
        <v>0.3</v>
      </c>
      <c r="I26" s="6">
        <f t="shared" si="0"/>
        <v>95.714285714285722</v>
      </c>
      <c r="J26" s="3">
        <f t="shared" si="1"/>
        <v>28.714285714285722</v>
      </c>
    </row>
    <row r="27" spans="2:10" x14ac:dyDescent="0.3">
      <c r="C27" t="s">
        <v>1385</v>
      </c>
      <c r="F27" t="s">
        <v>1386</v>
      </c>
      <c r="G27" s="25">
        <v>67</v>
      </c>
      <c r="H27" s="4">
        <v>0.3</v>
      </c>
      <c r="I27" s="6">
        <f t="shared" si="0"/>
        <v>95.714285714285722</v>
      </c>
      <c r="J27" s="3">
        <f t="shared" si="1"/>
        <v>28.714285714285722</v>
      </c>
    </row>
    <row r="28" spans="2:10" x14ac:dyDescent="0.3">
      <c r="C28" t="s">
        <v>1387</v>
      </c>
      <c r="F28" t="s">
        <v>1388</v>
      </c>
      <c r="G28" s="25">
        <v>67</v>
      </c>
      <c r="H28" s="4">
        <v>0.3</v>
      </c>
      <c r="I28" s="6">
        <f t="shared" si="0"/>
        <v>95.714285714285722</v>
      </c>
      <c r="J28" s="3">
        <f t="shared" si="1"/>
        <v>28.714285714285722</v>
      </c>
    </row>
    <row r="29" spans="2:10" x14ac:dyDescent="0.3">
      <c r="C29" t="s">
        <v>1389</v>
      </c>
      <c r="F29" t="s">
        <v>1390</v>
      </c>
      <c r="G29" s="25">
        <v>73</v>
      </c>
      <c r="H29" s="4">
        <v>0.3</v>
      </c>
      <c r="I29" s="6">
        <f t="shared" si="0"/>
        <v>104.28571428571429</v>
      </c>
      <c r="J29" s="3">
        <f t="shared" si="1"/>
        <v>31.285714285714292</v>
      </c>
    </row>
    <row r="30" spans="2:10" x14ac:dyDescent="0.3">
      <c r="C30" t="s">
        <v>1391</v>
      </c>
      <c r="F30" t="s">
        <v>1392</v>
      </c>
      <c r="G30" s="25">
        <v>63</v>
      </c>
      <c r="H30" s="4">
        <v>0.3</v>
      </c>
      <c r="I30" s="6">
        <f t="shared" si="0"/>
        <v>90</v>
      </c>
      <c r="J30" s="3">
        <f t="shared" si="1"/>
        <v>27</v>
      </c>
    </row>
    <row r="31" spans="2:10" x14ac:dyDescent="0.3">
      <c r="C31" t="s">
        <v>1393</v>
      </c>
      <c r="F31" t="s">
        <v>1394</v>
      </c>
      <c r="G31" s="25">
        <v>51</v>
      </c>
      <c r="H31" s="4">
        <v>0.3</v>
      </c>
      <c r="I31" s="6">
        <f t="shared" si="0"/>
        <v>72.857142857142861</v>
      </c>
      <c r="J31" s="3">
        <f t="shared" si="1"/>
        <v>21.857142857142861</v>
      </c>
    </row>
    <row r="32" spans="2:10" x14ac:dyDescent="0.3">
      <c r="C32" t="s">
        <v>1395</v>
      </c>
      <c r="D32" t="s">
        <v>1574</v>
      </c>
      <c r="F32" t="s">
        <v>1573</v>
      </c>
      <c r="G32" s="25">
        <v>48</v>
      </c>
      <c r="H32" s="4">
        <v>0.3</v>
      </c>
      <c r="I32" s="6">
        <f t="shared" si="0"/>
        <v>68.571428571428569</v>
      </c>
      <c r="J32" s="3">
        <f t="shared" si="1"/>
        <v>20.571428571428569</v>
      </c>
    </row>
    <row r="33" spans="1:12" x14ac:dyDescent="0.3">
      <c r="C33" t="s">
        <v>1396</v>
      </c>
      <c r="F33" t="s">
        <v>1397</v>
      </c>
      <c r="G33" s="25">
        <v>51</v>
      </c>
      <c r="H33" s="4">
        <v>0.3</v>
      </c>
      <c r="I33" s="6">
        <f t="shared" si="0"/>
        <v>72.857142857142861</v>
      </c>
      <c r="J33" s="3">
        <f t="shared" si="1"/>
        <v>21.857142857142861</v>
      </c>
    </row>
    <row r="34" spans="1:12" x14ac:dyDescent="0.3">
      <c r="C34" t="s">
        <v>1398</v>
      </c>
      <c r="F34" t="s">
        <v>1399</v>
      </c>
      <c r="G34" s="25">
        <v>63</v>
      </c>
      <c r="H34" s="4">
        <v>0.3</v>
      </c>
      <c r="I34" s="6">
        <f t="shared" si="0"/>
        <v>90</v>
      </c>
      <c r="J34" s="3">
        <f t="shared" si="1"/>
        <v>27</v>
      </c>
    </row>
    <row r="35" spans="1:12" x14ac:dyDescent="0.3">
      <c r="C35" t="s">
        <v>1400</v>
      </c>
      <c r="F35" t="s">
        <v>1401</v>
      </c>
      <c r="G35" s="25">
        <v>142</v>
      </c>
      <c r="H35" s="4">
        <v>0.3</v>
      </c>
      <c r="I35" s="6">
        <f t="shared" si="0"/>
        <v>202.85714285714286</v>
      </c>
      <c r="J35" s="3">
        <f t="shared" si="1"/>
        <v>60.857142857142861</v>
      </c>
    </row>
    <row r="36" spans="1:12" x14ac:dyDescent="0.3">
      <c r="C36" t="s">
        <v>1402</v>
      </c>
      <c r="F36" t="s">
        <v>625</v>
      </c>
      <c r="G36" s="25">
        <v>45</v>
      </c>
      <c r="H36" s="4">
        <v>0.3</v>
      </c>
      <c r="I36" s="6">
        <f t="shared" si="0"/>
        <v>64.285714285714292</v>
      </c>
      <c r="J36" s="3">
        <f t="shared" si="1"/>
        <v>19.285714285714292</v>
      </c>
    </row>
    <row r="37" spans="1:12" x14ac:dyDescent="0.3">
      <c r="C37" t="s">
        <v>1403</v>
      </c>
      <c r="F37" t="s">
        <v>1404</v>
      </c>
      <c r="G37" s="25">
        <v>63</v>
      </c>
      <c r="H37" s="4">
        <v>0.3</v>
      </c>
      <c r="I37" s="6">
        <f t="shared" si="0"/>
        <v>90</v>
      </c>
      <c r="J37" s="3">
        <f t="shared" si="1"/>
        <v>27</v>
      </c>
    </row>
    <row r="38" spans="1:12" x14ac:dyDescent="0.3">
      <c r="C38" t="s">
        <v>1405</v>
      </c>
      <c r="F38" t="s">
        <v>1406</v>
      </c>
      <c r="G38" s="25">
        <v>63</v>
      </c>
      <c r="H38" s="4">
        <v>0.3</v>
      </c>
      <c r="I38" s="6">
        <f t="shared" si="0"/>
        <v>90</v>
      </c>
      <c r="J38" s="3">
        <f t="shared" si="1"/>
        <v>27</v>
      </c>
    </row>
    <row r="39" spans="1:12" x14ac:dyDescent="0.3">
      <c r="A39">
        <v>2</v>
      </c>
      <c r="B39">
        <v>24587020</v>
      </c>
      <c r="C39" t="s">
        <v>1451</v>
      </c>
      <c r="D39" t="s">
        <v>1161</v>
      </c>
      <c r="F39" t="s">
        <v>1447</v>
      </c>
      <c r="G39" s="25">
        <v>85</v>
      </c>
      <c r="H39" s="4">
        <v>0.2</v>
      </c>
      <c r="I39" s="6">
        <f t="shared" si="0"/>
        <v>106.25</v>
      </c>
      <c r="J39" s="3">
        <f t="shared" si="1"/>
        <v>21.25</v>
      </c>
      <c r="K39" t="s">
        <v>1233</v>
      </c>
      <c r="L39" s="2">
        <v>110</v>
      </c>
    </row>
    <row r="40" spans="1:12" x14ac:dyDescent="0.3">
      <c r="H40" s="4">
        <v>0.3</v>
      </c>
      <c r="I40" s="6">
        <f t="shared" si="0"/>
        <v>0</v>
      </c>
      <c r="J40" s="3">
        <f t="shared" si="1"/>
        <v>0</v>
      </c>
    </row>
    <row r="41" spans="1:12" x14ac:dyDescent="0.3">
      <c r="H41" s="4">
        <v>0.3</v>
      </c>
      <c r="I41" s="6">
        <f t="shared" si="0"/>
        <v>0</v>
      </c>
      <c r="J41" s="3">
        <f t="shared" si="1"/>
        <v>0</v>
      </c>
    </row>
    <row r="42" spans="1:12" x14ac:dyDescent="0.3">
      <c r="H42" s="4">
        <v>0.3</v>
      </c>
      <c r="I42" s="6">
        <f t="shared" si="0"/>
        <v>0</v>
      </c>
      <c r="J42" s="3">
        <f t="shared" si="1"/>
        <v>0</v>
      </c>
    </row>
    <row r="43" spans="1:12" x14ac:dyDescent="0.3">
      <c r="H43" s="4">
        <v>0.3</v>
      </c>
      <c r="I43" s="6">
        <f t="shared" si="0"/>
        <v>0</v>
      </c>
      <c r="J43" s="3">
        <f t="shared" si="1"/>
        <v>0</v>
      </c>
    </row>
    <row r="44" spans="1:12" x14ac:dyDescent="0.3">
      <c r="H44" s="4">
        <v>0.3</v>
      </c>
      <c r="I44" s="6">
        <f t="shared" si="0"/>
        <v>0</v>
      </c>
      <c r="J44" s="3">
        <f t="shared" si="1"/>
        <v>0</v>
      </c>
    </row>
    <row r="45" spans="1:12" x14ac:dyDescent="0.3">
      <c r="H45" s="4">
        <v>0.3</v>
      </c>
      <c r="I45" s="6">
        <f t="shared" si="0"/>
        <v>0</v>
      </c>
      <c r="J45" s="3">
        <f t="shared" si="1"/>
        <v>0</v>
      </c>
    </row>
    <row r="46" spans="1:12" x14ac:dyDescent="0.3">
      <c r="H46" s="4">
        <v>0.3</v>
      </c>
      <c r="I46" s="6">
        <f t="shared" si="0"/>
        <v>0</v>
      </c>
      <c r="J46" s="3">
        <f t="shared" si="1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003E-7553-43E7-9993-C194DC92E3D8}">
  <dimension ref="A1:I11"/>
  <sheetViews>
    <sheetView workbookViewId="0">
      <selection activeCell="D2" sqref="D2"/>
    </sheetView>
  </sheetViews>
  <sheetFormatPr baseColWidth="10" defaultRowHeight="16.5" x14ac:dyDescent="0.3"/>
  <cols>
    <col min="4" max="4" width="22.5" customWidth="1"/>
  </cols>
  <sheetData>
    <row r="1" spans="1:9" x14ac:dyDescent="0.3">
      <c r="A1" t="s">
        <v>496</v>
      </c>
      <c r="B1" t="s">
        <v>498</v>
      </c>
      <c r="C1" t="s">
        <v>499</v>
      </c>
      <c r="D1" t="s">
        <v>500</v>
      </c>
      <c r="E1" t="s">
        <v>501</v>
      </c>
      <c r="F1" t="s">
        <v>639</v>
      </c>
      <c r="G1" s="2" t="s">
        <v>640</v>
      </c>
      <c r="H1" t="s">
        <v>504</v>
      </c>
      <c r="I1" t="s">
        <v>505</v>
      </c>
    </row>
    <row r="2" spans="1:9" x14ac:dyDescent="0.3">
      <c r="C2" t="s">
        <v>1407</v>
      </c>
      <c r="D2" t="s">
        <v>1408</v>
      </c>
      <c r="E2">
        <v>125</v>
      </c>
      <c r="F2" s="24">
        <v>0.3</v>
      </c>
      <c r="G2" s="48">
        <f>E2/(1-F2)</f>
        <v>178.57142857142858</v>
      </c>
      <c r="H2" s="48">
        <f>G2-E2</f>
        <v>53.571428571428584</v>
      </c>
    </row>
    <row r="3" spans="1:9" x14ac:dyDescent="0.3">
      <c r="C3" t="s">
        <v>1409</v>
      </c>
      <c r="D3" t="s">
        <v>1410</v>
      </c>
      <c r="E3">
        <v>120</v>
      </c>
      <c r="F3" s="24">
        <v>0.3</v>
      </c>
      <c r="G3" s="48">
        <f t="shared" ref="G3:G7" si="0">E3/(1-F3)</f>
        <v>171.42857142857144</v>
      </c>
      <c r="H3" s="48">
        <f t="shared" ref="H3:H7" si="1">G3-E3</f>
        <v>51.428571428571445</v>
      </c>
    </row>
    <row r="4" spans="1:9" x14ac:dyDescent="0.3">
      <c r="C4" t="s">
        <v>1411</v>
      </c>
      <c r="D4" t="s">
        <v>1364</v>
      </c>
      <c r="E4">
        <v>125</v>
      </c>
      <c r="F4" s="24">
        <v>0.3</v>
      </c>
      <c r="G4" s="48">
        <f t="shared" si="0"/>
        <v>178.57142857142858</v>
      </c>
      <c r="H4" s="48">
        <f t="shared" si="1"/>
        <v>53.571428571428584</v>
      </c>
    </row>
    <row r="5" spans="1:9" x14ac:dyDescent="0.3">
      <c r="B5">
        <v>18241</v>
      </c>
      <c r="C5" t="s">
        <v>1575</v>
      </c>
      <c r="D5" t="s">
        <v>1576</v>
      </c>
      <c r="E5">
        <v>60</v>
      </c>
      <c r="F5" s="24">
        <v>0.2</v>
      </c>
      <c r="G5" s="48">
        <f t="shared" si="0"/>
        <v>75</v>
      </c>
      <c r="H5" s="48">
        <f t="shared" si="1"/>
        <v>15</v>
      </c>
      <c r="I5" t="s">
        <v>1233</v>
      </c>
    </row>
    <row r="6" spans="1:9" x14ac:dyDescent="0.3">
      <c r="D6" t="s">
        <v>1484</v>
      </c>
      <c r="E6">
        <v>60</v>
      </c>
      <c r="F6" s="24">
        <v>0.3</v>
      </c>
      <c r="G6" s="48">
        <f t="shared" si="0"/>
        <v>85.714285714285722</v>
      </c>
      <c r="H6" s="48">
        <f t="shared" si="1"/>
        <v>25.714285714285722</v>
      </c>
      <c r="I6" t="s">
        <v>1233</v>
      </c>
    </row>
    <row r="7" spans="1:9" x14ac:dyDescent="0.3">
      <c r="F7" s="24">
        <v>0.3</v>
      </c>
      <c r="G7" s="48">
        <f t="shared" si="0"/>
        <v>0</v>
      </c>
      <c r="H7" s="48">
        <f t="shared" si="1"/>
        <v>0</v>
      </c>
    </row>
    <row r="11" spans="1:9" x14ac:dyDescent="0.3">
      <c r="G11" s="2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AE4B-620B-4ABE-9C82-CBD24DF2E84B}">
  <dimension ref="A1:I8"/>
  <sheetViews>
    <sheetView workbookViewId="0">
      <selection activeCell="A8" sqref="A8"/>
    </sheetView>
  </sheetViews>
  <sheetFormatPr baseColWidth="10" defaultRowHeight="16.5" x14ac:dyDescent="0.3"/>
  <cols>
    <col min="2" max="2" width="12.625" customWidth="1"/>
    <col min="3" max="3" width="45.625" customWidth="1"/>
    <col min="6" max="6" width="11" style="2"/>
    <col min="8" max="8" width="22.625" customWidth="1"/>
  </cols>
  <sheetData>
    <row r="1" spans="1:9" x14ac:dyDescent="0.3">
      <c r="A1" t="s">
        <v>496</v>
      </c>
      <c r="B1" t="s">
        <v>499</v>
      </c>
      <c r="C1" t="s">
        <v>500</v>
      </c>
      <c r="D1" t="s">
        <v>501</v>
      </c>
      <c r="E1" s="4" t="s">
        <v>1113</v>
      </c>
      <c r="F1" s="2" t="s">
        <v>640</v>
      </c>
      <c r="G1" t="s">
        <v>504</v>
      </c>
      <c r="H1" t="s">
        <v>505</v>
      </c>
      <c r="I1" t="s">
        <v>506</v>
      </c>
    </row>
    <row r="2" spans="1:9" x14ac:dyDescent="0.3">
      <c r="A2">
        <v>3</v>
      </c>
      <c r="B2" t="s">
        <v>1132</v>
      </c>
      <c r="C2" t="s">
        <v>1134</v>
      </c>
      <c r="D2" s="3">
        <v>59.302079999999997</v>
      </c>
      <c r="E2" s="24">
        <v>0.3</v>
      </c>
      <c r="F2" s="6">
        <f>D2/(1-E2)</f>
        <v>84.71725714285715</v>
      </c>
      <c r="G2" s="3">
        <f>F2-D2</f>
        <v>25.415177142857154</v>
      </c>
      <c r="H2" t="s">
        <v>1114</v>
      </c>
    </row>
    <row r="3" spans="1:9" x14ac:dyDescent="0.3">
      <c r="A3">
        <v>3</v>
      </c>
      <c r="B3" t="s">
        <v>1133</v>
      </c>
      <c r="D3" s="3">
        <v>59.231279999999998</v>
      </c>
      <c r="E3" s="24">
        <v>0.3</v>
      </c>
      <c r="F3" s="6">
        <f>D3/(1-E3)</f>
        <v>84.616114285714289</v>
      </c>
      <c r="G3" s="3">
        <f>F3-D3</f>
        <v>25.384834285714291</v>
      </c>
      <c r="H3" t="s">
        <v>1114</v>
      </c>
    </row>
    <row r="4" spans="1:9" x14ac:dyDescent="0.3">
      <c r="A4">
        <v>3</v>
      </c>
      <c r="B4" t="s">
        <v>1131</v>
      </c>
      <c r="D4" s="3">
        <v>59.259599999999999</v>
      </c>
      <c r="E4" s="24">
        <v>0.3</v>
      </c>
      <c r="F4" s="6">
        <f>D4/(1-E4)</f>
        <v>84.656571428571439</v>
      </c>
      <c r="G4" s="3">
        <f>F4-D4</f>
        <v>25.39697142857144</v>
      </c>
      <c r="H4" t="s">
        <v>1114</v>
      </c>
    </row>
    <row r="5" spans="1:9" x14ac:dyDescent="0.3">
      <c r="A5" t="s">
        <v>1019</v>
      </c>
      <c r="B5">
        <v>9601239</v>
      </c>
      <c r="C5" t="s">
        <v>1173</v>
      </c>
      <c r="F5" s="6">
        <f t="shared" ref="F5:F8" si="0">D5/(1-E5)</f>
        <v>0</v>
      </c>
      <c r="G5" s="3">
        <f t="shared" ref="G5:G8" si="1">F5-D5</f>
        <v>0</v>
      </c>
    </row>
    <row r="6" spans="1:9" x14ac:dyDescent="0.3">
      <c r="B6" t="s">
        <v>1275</v>
      </c>
      <c r="C6" t="s">
        <v>1276</v>
      </c>
      <c r="F6" s="6">
        <f t="shared" si="0"/>
        <v>0</v>
      </c>
      <c r="G6" s="3">
        <f t="shared" si="1"/>
        <v>0</v>
      </c>
    </row>
    <row r="7" spans="1:9" x14ac:dyDescent="0.3">
      <c r="B7" t="s">
        <v>1303</v>
      </c>
      <c r="C7" t="s">
        <v>1304</v>
      </c>
      <c r="D7" s="3">
        <v>70</v>
      </c>
      <c r="F7" s="6">
        <f t="shared" si="0"/>
        <v>70</v>
      </c>
      <c r="G7" s="3">
        <f t="shared" si="1"/>
        <v>0</v>
      </c>
      <c r="H7" t="s">
        <v>1233</v>
      </c>
    </row>
    <row r="8" spans="1:9" x14ac:dyDescent="0.3">
      <c r="A8">
        <v>2</v>
      </c>
      <c r="B8" t="s">
        <v>1449</v>
      </c>
      <c r="C8" t="s">
        <v>1450</v>
      </c>
      <c r="D8" s="3">
        <v>70</v>
      </c>
      <c r="F8" s="6">
        <f t="shared" si="0"/>
        <v>70</v>
      </c>
      <c r="G8" s="3">
        <f t="shared" si="1"/>
        <v>0</v>
      </c>
      <c r="H8" t="s">
        <v>1233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2DFF-B965-4066-A031-7687D9F54DF0}">
  <dimension ref="A1:D19"/>
  <sheetViews>
    <sheetView workbookViewId="0">
      <selection activeCell="C8" sqref="C8"/>
    </sheetView>
  </sheetViews>
  <sheetFormatPr baseColWidth="10" defaultRowHeight="16.5" x14ac:dyDescent="0.3"/>
  <cols>
    <col min="2" max="2" width="19.5" customWidth="1"/>
  </cols>
  <sheetData>
    <row r="1" spans="1:4" x14ac:dyDescent="0.3">
      <c r="A1" t="s">
        <v>1138</v>
      </c>
      <c r="C1" t="s">
        <v>501</v>
      </c>
      <c r="D1" t="s">
        <v>640</v>
      </c>
    </row>
    <row r="2" spans="1:4" x14ac:dyDescent="0.3">
      <c r="A2" t="s">
        <v>1139</v>
      </c>
      <c r="C2" s="26"/>
      <c r="D2" s="25"/>
    </row>
    <row r="3" spans="1:4" x14ac:dyDescent="0.3">
      <c r="A3" t="s">
        <v>1142</v>
      </c>
      <c r="B3" t="s">
        <v>603</v>
      </c>
      <c r="C3" s="26">
        <v>65</v>
      </c>
      <c r="D3" s="25">
        <v>95</v>
      </c>
    </row>
    <row r="4" spans="1:4" x14ac:dyDescent="0.3">
      <c r="A4" t="s">
        <v>1143</v>
      </c>
      <c r="B4" t="s">
        <v>1144</v>
      </c>
      <c r="C4" s="26">
        <v>120</v>
      </c>
      <c r="D4" s="25">
        <v>150</v>
      </c>
    </row>
    <row r="5" spans="1:4" x14ac:dyDescent="0.3">
      <c r="A5" t="s">
        <v>1145</v>
      </c>
      <c r="B5" t="s">
        <v>1146</v>
      </c>
      <c r="C5" s="26">
        <v>65</v>
      </c>
      <c r="D5" s="25">
        <v>85</v>
      </c>
    </row>
    <row r="6" spans="1:4" x14ac:dyDescent="0.3">
      <c r="A6" t="s">
        <v>1179</v>
      </c>
      <c r="B6" t="s">
        <v>1180</v>
      </c>
      <c r="C6" s="26">
        <v>55</v>
      </c>
      <c r="D6" s="25"/>
    </row>
    <row r="7" spans="1:4" x14ac:dyDescent="0.3">
      <c r="A7" t="s">
        <v>1301</v>
      </c>
      <c r="B7" t="s">
        <v>1302</v>
      </c>
      <c r="C7" s="26">
        <v>60</v>
      </c>
      <c r="D7" s="25"/>
    </row>
    <row r="8" spans="1:4" x14ac:dyDescent="0.3">
      <c r="A8" t="s">
        <v>1377</v>
      </c>
      <c r="B8" t="s">
        <v>1062</v>
      </c>
      <c r="C8" s="26"/>
      <c r="D8" s="25"/>
    </row>
    <row r="9" spans="1:4" x14ac:dyDescent="0.3">
      <c r="C9" s="26"/>
      <c r="D9" s="25"/>
    </row>
    <row r="10" spans="1:4" x14ac:dyDescent="0.3">
      <c r="C10" s="26"/>
      <c r="D10" s="25"/>
    </row>
    <row r="11" spans="1:4" x14ac:dyDescent="0.3">
      <c r="C11" s="26"/>
      <c r="D11" s="25"/>
    </row>
    <row r="12" spans="1:4" x14ac:dyDescent="0.3">
      <c r="C12" s="26"/>
      <c r="D12" s="25"/>
    </row>
    <row r="13" spans="1:4" x14ac:dyDescent="0.3">
      <c r="C13" s="26"/>
      <c r="D13" s="25"/>
    </row>
    <row r="14" spans="1:4" x14ac:dyDescent="0.3">
      <c r="C14" s="26"/>
      <c r="D14" s="25"/>
    </row>
    <row r="15" spans="1:4" x14ac:dyDescent="0.3">
      <c r="C15" s="26"/>
      <c r="D15" s="25"/>
    </row>
    <row r="16" spans="1:4" x14ac:dyDescent="0.3">
      <c r="C16" s="26"/>
      <c r="D16" s="25"/>
    </row>
    <row r="17" spans="3:4" x14ac:dyDescent="0.3">
      <c r="C17" s="26"/>
      <c r="D17" s="25"/>
    </row>
    <row r="18" spans="3:4" x14ac:dyDescent="0.3">
      <c r="C18" s="26"/>
    </row>
    <row r="19" spans="3:4" x14ac:dyDescent="0.3">
      <c r="C19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ARRANCADOR</vt:lpstr>
      <vt:lpstr>ALTERNADOR</vt:lpstr>
      <vt:lpstr>Hoja1</vt:lpstr>
      <vt:lpstr>SOLENOIDE</vt:lpstr>
      <vt:lpstr>PORTA CARBON</vt:lpstr>
      <vt:lpstr>REGULADOR</vt:lpstr>
      <vt:lpstr>TK0</vt:lpstr>
      <vt:lpstr>PLANETARIO</vt:lpstr>
      <vt:lpstr>BENDIX</vt:lpstr>
      <vt:lpstr>ARMADURA</vt:lpstr>
      <vt:lpstr>CAMPO</vt:lpstr>
      <vt:lpstr>POLEA</vt:lpstr>
      <vt:lpstr>PORTADIODO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Frander Silva Rivera</cp:lastModifiedBy>
  <dcterms:created xsi:type="dcterms:W3CDTF">2025-09-19T22:28:58Z</dcterms:created>
  <dcterms:modified xsi:type="dcterms:W3CDTF">2026-05-21T07:18:13Z</dcterms:modified>
</cp:coreProperties>
</file>